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l0018/Desktop/HRvLR_2026/00_input/"/>
    </mc:Choice>
  </mc:AlternateContent>
  <xr:revisionPtr revIDLastSave="0" documentId="13_ncr:1_{14FA0ED4-B65A-BF47-80FA-D43F03921730}" xr6:coauthVersionLast="47" xr6:coauthVersionMax="47" xr10:uidLastSave="{00000000-0000-0000-0000-000000000000}"/>
  <bookViews>
    <workbookView xWindow="360" yWindow="1140" windowWidth="27640" windowHeight="16940" xr2:uid="{C233B9A9-C2DA-9444-B05F-51383F25E8C6}"/>
  </bookViews>
  <sheets>
    <sheet name="RES&amp;N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2" i="1" l="1"/>
  <c r="AU22" i="1"/>
  <c r="AT22" i="1"/>
  <c r="AS22" i="1"/>
  <c r="AR22" i="1"/>
  <c r="AQ22" i="1"/>
  <c r="AP22" i="1"/>
  <c r="AO22" i="1"/>
  <c r="AN22" i="1"/>
  <c r="AM22" i="1"/>
  <c r="AJ22" i="1"/>
  <c r="AI22" i="1"/>
  <c r="AF22" i="1"/>
  <c r="AE22" i="1"/>
  <c r="AD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I22" i="1"/>
  <c r="H22" i="1"/>
  <c r="E22" i="1"/>
  <c r="D22" i="1"/>
  <c r="C22" i="1"/>
  <c r="AX21" i="1"/>
  <c r="AV21" i="1"/>
  <c r="AU21" i="1"/>
  <c r="AT21" i="1"/>
  <c r="AS21" i="1"/>
  <c r="AP21" i="1"/>
  <c r="AO21" i="1"/>
  <c r="AN21" i="1"/>
  <c r="AM21" i="1"/>
  <c r="AL21" i="1"/>
  <c r="AK21" i="1"/>
  <c r="AJ21" i="1"/>
  <c r="AI21" i="1"/>
  <c r="AH21" i="1"/>
  <c r="AF21" i="1"/>
  <c r="AE21" i="1"/>
  <c r="AD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I21" i="1"/>
  <c r="H21" i="1"/>
  <c r="E21" i="1"/>
  <c r="D21" i="1"/>
  <c r="C21" i="1"/>
  <c r="AX20" i="1"/>
  <c r="AW20" i="1"/>
  <c r="AR20" i="1"/>
  <c r="AQ20" i="1"/>
  <c r="AL20" i="1"/>
  <c r="AK20" i="1"/>
  <c r="AH20" i="1"/>
  <c r="AG20" i="1"/>
  <c r="AC20" i="1"/>
  <c r="AB20" i="1"/>
  <c r="K20" i="1"/>
  <c r="J20" i="1"/>
  <c r="G20" i="1"/>
  <c r="F20" i="1"/>
  <c r="AX19" i="1"/>
  <c r="AW19" i="1"/>
  <c r="AR19" i="1"/>
  <c r="AQ19" i="1"/>
  <c r="AL19" i="1"/>
  <c r="AK19" i="1"/>
  <c r="AH19" i="1"/>
  <c r="AG19" i="1"/>
  <c r="AC19" i="1"/>
  <c r="AB19" i="1"/>
  <c r="K19" i="1"/>
  <c r="J19" i="1"/>
  <c r="G19" i="1"/>
  <c r="F19" i="1"/>
  <c r="AX18" i="1"/>
  <c r="AW18" i="1"/>
  <c r="AR18" i="1"/>
  <c r="AQ18" i="1"/>
  <c r="AL18" i="1"/>
  <c r="AK18" i="1"/>
  <c r="AH18" i="1"/>
  <c r="AG18" i="1"/>
  <c r="AC18" i="1"/>
  <c r="AB18" i="1"/>
  <c r="K18" i="1"/>
  <c r="J18" i="1"/>
  <c r="G18" i="1"/>
  <c r="F18" i="1"/>
  <c r="AX17" i="1"/>
  <c r="AW17" i="1"/>
  <c r="AR17" i="1"/>
  <c r="AQ17" i="1"/>
  <c r="AL17" i="1"/>
  <c r="AK17" i="1"/>
  <c r="AH17" i="1"/>
  <c r="AG17" i="1"/>
  <c r="AC17" i="1"/>
  <c r="AB17" i="1"/>
  <c r="K17" i="1"/>
  <c r="J17" i="1"/>
  <c r="G17" i="1"/>
  <c r="F17" i="1"/>
  <c r="AX16" i="1"/>
  <c r="AW16" i="1"/>
  <c r="AR16" i="1"/>
  <c r="AQ16" i="1"/>
  <c r="AL16" i="1"/>
  <c r="AK16" i="1"/>
  <c r="AH16" i="1"/>
  <c r="AG16" i="1"/>
  <c r="AC16" i="1"/>
  <c r="AB16" i="1"/>
  <c r="K16" i="1"/>
  <c r="J16" i="1"/>
  <c r="G16" i="1"/>
  <c r="F16" i="1"/>
  <c r="AX15" i="1"/>
  <c r="AW15" i="1"/>
  <c r="AR15" i="1"/>
  <c r="AQ15" i="1"/>
  <c r="AL15" i="1"/>
  <c r="AK15" i="1"/>
  <c r="AH15" i="1"/>
  <c r="AG15" i="1"/>
  <c r="AC15" i="1"/>
  <c r="AB15" i="1"/>
  <c r="K15" i="1"/>
  <c r="J15" i="1"/>
  <c r="G15" i="1"/>
  <c r="F15" i="1"/>
  <c r="AX14" i="1"/>
  <c r="AW14" i="1"/>
  <c r="AR14" i="1"/>
  <c r="AQ14" i="1"/>
  <c r="AL14" i="1"/>
  <c r="AK14" i="1"/>
  <c r="AH14" i="1"/>
  <c r="AG14" i="1"/>
  <c r="AC14" i="1"/>
  <c r="AB14" i="1"/>
  <c r="K14" i="1"/>
  <c r="J14" i="1"/>
  <c r="G14" i="1"/>
  <c r="F14" i="1"/>
  <c r="AX13" i="1"/>
  <c r="AX22" i="1" s="1"/>
  <c r="AW13" i="1"/>
  <c r="AW22" i="1" s="1"/>
  <c r="AR13" i="1"/>
  <c r="AR21" i="1" s="1"/>
  <c r="AQ13" i="1"/>
  <c r="AQ21" i="1" s="1"/>
  <c r="AL13" i="1"/>
  <c r="AK13" i="1"/>
  <c r="AK22" i="1" s="1"/>
  <c r="AH13" i="1"/>
  <c r="AH22" i="1" s="1"/>
  <c r="AG13" i="1"/>
  <c r="AG22" i="1" s="1"/>
  <c r="AC13" i="1"/>
  <c r="AC21" i="1" s="1"/>
  <c r="AB13" i="1"/>
  <c r="AB21" i="1" s="1"/>
  <c r="K13" i="1"/>
  <c r="K22" i="1" s="1"/>
  <c r="J13" i="1"/>
  <c r="J22" i="1" s="1"/>
  <c r="G13" i="1"/>
  <c r="G22" i="1" s="1"/>
  <c r="F13" i="1"/>
  <c r="F22" i="1" s="1"/>
  <c r="AV12" i="1"/>
  <c r="AU12" i="1"/>
  <c r="AT12" i="1"/>
  <c r="AS12" i="1"/>
  <c r="AP12" i="1"/>
  <c r="AO12" i="1"/>
  <c r="AN12" i="1"/>
  <c r="AM12" i="1"/>
  <c r="AJ12" i="1"/>
  <c r="AI12" i="1"/>
  <c r="AF12" i="1"/>
  <c r="AE12" i="1"/>
  <c r="AD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I12" i="1"/>
  <c r="H12" i="1"/>
  <c r="E12" i="1"/>
  <c r="D12" i="1"/>
  <c r="C12" i="1"/>
  <c r="AV11" i="1"/>
  <c r="AU11" i="1"/>
  <c r="AT11" i="1"/>
  <c r="AS11" i="1"/>
  <c r="AP11" i="1"/>
  <c r="AO11" i="1"/>
  <c r="AN11" i="1"/>
  <c r="AM11" i="1"/>
  <c r="AJ11" i="1"/>
  <c r="AI11" i="1"/>
  <c r="AG11" i="1"/>
  <c r="AF11" i="1"/>
  <c r="AE11" i="1"/>
  <c r="AD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I11" i="1"/>
  <c r="H11" i="1"/>
  <c r="E11" i="1"/>
  <c r="D11" i="1"/>
  <c r="C11" i="1"/>
  <c r="AX10" i="1"/>
  <c r="AW10" i="1"/>
  <c r="AR10" i="1"/>
  <c r="AQ10" i="1"/>
  <c r="AL10" i="1"/>
  <c r="AK10" i="1"/>
  <c r="AH10" i="1"/>
  <c r="AG10" i="1"/>
  <c r="AC10" i="1"/>
  <c r="AB10" i="1"/>
  <c r="K10" i="1"/>
  <c r="J10" i="1"/>
  <c r="G10" i="1"/>
  <c r="F10" i="1"/>
  <c r="AX9" i="1"/>
  <c r="AW9" i="1"/>
  <c r="AR9" i="1"/>
  <c r="AQ9" i="1"/>
  <c r="AL9" i="1"/>
  <c r="AK9" i="1"/>
  <c r="AH9" i="1"/>
  <c r="AG9" i="1"/>
  <c r="AC9" i="1"/>
  <c r="AB9" i="1"/>
  <c r="K9" i="1"/>
  <c r="J9" i="1"/>
  <c r="G9" i="1"/>
  <c r="F9" i="1"/>
  <c r="AX8" i="1"/>
  <c r="AW8" i="1"/>
  <c r="AR8" i="1"/>
  <c r="AQ8" i="1"/>
  <c r="AL8" i="1"/>
  <c r="AL11" i="1" s="1"/>
  <c r="AK8" i="1"/>
  <c r="AK12" i="1" s="1"/>
  <c r="AH8" i="1"/>
  <c r="AG8" i="1"/>
  <c r="AC8" i="1"/>
  <c r="AB8" i="1"/>
  <c r="G8" i="1"/>
  <c r="F8" i="1"/>
  <c r="AX7" i="1"/>
  <c r="AW7" i="1"/>
  <c r="AR7" i="1"/>
  <c r="AQ7" i="1"/>
  <c r="AL7" i="1"/>
  <c r="AK7" i="1"/>
  <c r="AH7" i="1"/>
  <c r="AG7" i="1"/>
  <c r="AC7" i="1"/>
  <c r="AB7" i="1"/>
  <c r="K7" i="1"/>
  <c r="J7" i="1"/>
  <c r="G7" i="1"/>
  <c r="F7" i="1"/>
  <c r="AX6" i="1"/>
  <c r="AW6" i="1"/>
  <c r="AR6" i="1"/>
  <c r="AQ6" i="1"/>
  <c r="AL6" i="1"/>
  <c r="AK6" i="1"/>
  <c r="AH6" i="1"/>
  <c r="AG6" i="1"/>
  <c r="AC6" i="1"/>
  <c r="AB6" i="1"/>
  <c r="K6" i="1"/>
  <c r="J6" i="1"/>
  <c r="G6" i="1"/>
  <c r="F6" i="1"/>
  <c r="AX5" i="1"/>
  <c r="AW5" i="1"/>
  <c r="AR5" i="1"/>
  <c r="AQ5" i="1"/>
  <c r="AL5" i="1"/>
  <c r="AK5" i="1"/>
  <c r="AH5" i="1"/>
  <c r="AG5" i="1"/>
  <c r="AC5" i="1"/>
  <c r="AB5" i="1"/>
  <c r="K5" i="1"/>
  <c r="J5" i="1"/>
  <c r="G5" i="1"/>
  <c r="F5" i="1"/>
  <c r="AX4" i="1"/>
  <c r="AW4" i="1"/>
  <c r="AR4" i="1"/>
  <c r="AQ4" i="1"/>
  <c r="AL4" i="1"/>
  <c r="AK4" i="1"/>
  <c r="AH4" i="1"/>
  <c r="AG4" i="1"/>
  <c r="AC4" i="1"/>
  <c r="AB4" i="1"/>
  <c r="K4" i="1"/>
  <c r="J4" i="1"/>
  <c r="G4" i="1"/>
  <c r="F4" i="1"/>
  <c r="AX3" i="1"/>
  <c r="AW3" i="1"/>
  <c r="AR3" i="1"/>
  <c r="AQ3" i="1"/>
  <c r="AQ12" i="1" s="1"/>
  <c r="AL3" i="1"/>
  <c r="AK3" i="1"/>
  <c r="AH3" i="1"/>
  <c r="AH11" i="1" s="1"/>
  <c r="AG3" i="1"/>
  <c r="AC3" i="1"/>
  <c r="AB3" i="1"/>
  <c r="K3" i="1"/>
  <c r="J3" i="1"/>
  <c r="J12" i="1" s="1"/>
  <c r="G3" i="1"/>
  <c r="F3" i="1"/>
  <c r="K11" i="1" l="1"/>
  <c r="F21" i="1"/>
  <c r="G21" i="1"/>
  <c r="AR11" i="1"/>
  <c r="AW12" i="1"/>
  <c r="K12" i="1"/>
  <c r="AR12" i="1"/>
  <c r="AL22" i="1"/>
  <c r="AB22" i="1"/>
  <c r="AB11" i="1"/>
  <c r="AC11" i="1"/>
  <c r="AH23" i="1"/>
  <c r="AX12" i="1"/>
  <c r="AC22" i="1"/>
  <c r="AG23" i="1"/>
  <c r="AL23" i="1"/>
  <c r="AQ11" i="1"/>
  <c r="AK23" i="1"/>
  <c r="F12" i="1"/>
  <c r="G12" i="1"/>
  <c r="G11" i="1"/>
  <c r="AC12" i="1"/>
  <c r="AG21" i="1"/>
  <c r="AW21" i="1"/>
  <c r="F11" i="1"/>
  <c r="AB12" i="1"/>
  <c r="AW11" i="1"/>
  <c r="AX11" i="1"/>
  <c r="J21" i="1"/>
  <c r="AK11" i="1"/>
  <c r="K21" i="1"/>
  <c r="J11" i="1"/>
  <c r="AG12" i="1"/>
  <c r="AH12" i="1"/>
  <c r="AL12" i="1"/>
</calcChain>
</file>

<file path=xl/sharedStrings.xml><?xml version="1.0" encoding="utf-8"?>
<sst xmlns="http://schemas.openxmlformats.org/spreadsheetml/2006/main" count="83" uniqueCount="56">
  <si>
    <t>COMP. HYPERTROPHY</t>
  </si>
  <si>
    <t>1RM-Leg</t>
  </si>
  <si>
    <t>1RM-Ext</t>
  </si>
  <si>
    <t>VOLUME LOAD (sets x reps x weight [kg])</t>
  </si>
  <si>
    <t>mCSA</t>
  </si>
  <si>
    <t>fCSA - Mixed</t>
  </si>
  <si>
    <t>Number of fCSA - Mixed (MyoVision)</t>
  </si>
  <si>
    <t>fCSA - Type I</t>
  </si>
  <si>
    <t>Number of fCSA - Type I (MyoVision)</t>
  </si>
  <si>
    <t>fCSA - Type II</t>
  </si>
  <si>
    <t>Pre</t>
  </si>
  <si>
    <t>Post</t>
  </si>
  <si>
    <t>Δ</t>
  </si>
  <si>
    <t>Δ%</t>
  </si>
  <si>
    <t xml:space="preserve">1 Session (S) 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</si>
  <si>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</si>
  <si>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</si>
  <si>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</si>
  <si>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</si>
  <si>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</si>
  <si>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</si>
  <si>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</si>
  <si>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</si>
  <si>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</si>
  <si>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11S</t>
  </si>
  <si>
    <t>12S</t>
  </si>
  <si>
    <t>13S</t>
  </si>
  <si>
    <t>14S</t>
  </si>
  <si>
    <t>15S</t>
  </si>
  <si>
    <t>16S</t>
  </si>
  <si>
    <t>16S - 1S (Δ)</t>
  </si>
  <si>
    <t>16S - 1S  (Δ%)</t>
  </si>
  <si>
    <t>ACCUM_VL</t>
  </si>
  <si>
    <t>S10</t>
  </si>
  <si>
    <t>S24</t>
  </si>
  <si>
    <t>S27</t>
  </si>
  <si>
    <t>S28</t>
  </si>
  <si>
    <t>S16</t>
  </si>
  <si>
    <t>S22</t>
  </si>
  <si>
    <t>S03</t>
  </si>
  <si>
    <t>S29</t>
  </si>
  <si>
    <t>MEAN</t>
  </si>
  <si>
    <t>SD</t>
  </si>
  <si>
    <t>LR VOL20</t>
  </si>
  <si>
    <t>S05</t>
  </si>
  <si>
    <t>S04</t>
  </si>
  <si>
    <t>S30</t>
  </si>
  <si>
    <t>S12</t>
  </si>
  <si>
    <t>S14</t>
  </si>
  <si>
    <t>S06</t>
  </si>
  <si>
    <t>S21</t>
  </si>
  <si>
    <t>S17</t>
  </si>
  <si>
    <t>t-tests</t>
  </si>
  <si>
    <t>HR</t>
  </si>
  <si>
    <t>LR</t>
  </si>
  <si>
    <t>HR VOL20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</si>
</sst>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0.0%"/>
    <numFmt numFmtId="167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9F7"/>
        <bgColor rgb="FFDBE9F7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2" fillId="6" borderId="0" xfId="1" applyNumberFormat="1" applyFont="1" applyFill="1" applyAlignment="1">
      <alignment horizontal="center" vertical="center"/>
    </xf>
    <xf numFmtId="1" fontId="2" fillId="7" borderId="15" xfId="0" applyNumberFormat="1" applyFont="1" applyFill="1" applyBorder="1" applyAlignment="1">
      <alignment horizontal="center" vertical="center"/>
    </xf>
    <xf numFmtId="9" fontId="2" fillId="7" borderId="15" xfId="1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10" fontId="2" fillId="7" borderId="15" xfId="0" applyNumberFormat="1" applyFont="1" applyFill="1" applyBorder="1" applyAlignment="1">
      <alignment horizontal="center" vertical="center"/>
    </xf>
    <xf numFmtId="165" fontId="2" fillId="7" borderId="15" xfId="0" applyNumberFormat="1" applyFont="1" applyFill="1" applyBorder="1" applyAlignment="1">
      <alignment horizontal="center" vertical="center"/>
    </xf>
    <xf numFmtId="1" fontId="2" fillId="7" borderId="15" xfId="0" applyNumberFormat="1" applyFont="1" applyFill="1" applyBorder="1" applyAlignment="1">
      <alignment horizontal="center"/>
    </xf>
    <xf numFmtId="9" fontId="2" fillId="7" borderId="15" xfId="1" applyFont="1" applyFill="1" applyBorder="1" applyAlignment="1">
      <alignment horizontal="center"/>
    </xf>
    <xf numFmtId="164" fontId="2" fillId="7" borderId="15" xfId="0" applyNumberFormat="1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165" fontId="2" fillId="7" borderId="15" xfId="0" applyNumberFormat="1" applyFont="1" applyFill="1" applyBorder="1" applyAlignment="1">
      <alignment horizontal="center"/>
    </xf>
    <xf numFmtId="10" fontId="3" fillId="6" borderId="0" xfId="1" applyNumberFormat="1" applyFont="1" applyFill="1" applyAlignment="1">
      <alignment horizontal="center" vertical="center"/>
    </xf>
    <xf numFmtId="2" fontId="3" fillId="6" borderId="0" xfId="1" applyNumberFormat="1" applyFont="1" applyFill="1" applyAlignment="1">
      <alignment horizontal="center" vertical="center"/>
    </xf>
    <xf numFmtId="9" fontId="3" fillId="6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6173-3031-7C4E-9C0C-FF067C9995CC}">
  <dimension ref="A1:AX25"/>
  <sheetViews>
    <sheetView tabSelected="1" workbookViewId="0">
      <selection activeCell="C26" sqref="C26"/>
    </sheetView>
  </sheetViews>
  <sheetFormatPr baseColWidth="10" defaultColWidth="9.1640625" defaultRowHeight="14" x14ac:dyDescent="0.2"/>
  <cols>
    <col min="1" max="1" width="10.5" style="1" bestFit="1" customWidth="1"/>
    <col min="2" max="2" width="9.1640625" style="1"/>
    <col min="3" max="3" width="27" style="1" customWidth="1"/>
    <col min="4" max="5" width="10.83203125" style="1" bestFit="1" customWidth="1"/>
    <col min="6" max="10" width="9.83203125" style="1" bestFit="1" customWidth="1"/>
    <col min="11" max="11" width="10.33203125" style="1" bestFit="1" customWidth="1"/>
    <col min="12" max="12" width="16.83203125" style="1" bestFit="1" customWidth="1"/>
    <col min="13" max="27" width="11" style="1" bestFit="1" customWidth="1"/>
    <col min="28" max="28" width="14.83203125" style="1" bestFit="1" customWidth="1"/>
    <col min="29" max="29" width="17.5" style="1" bestFit="1" customWidth="1"/>
    <col min="30" max="30" width="12.6640625" style="1" bestFit="1" customWidth="1"/>
    <col min="31" max="33" width="9.83203125" style="1" bestFit="1" customWidth="1"/>
    <col min="34" max="34" width="10.33203125" style="1" bestFit="1" customWidth="1"/>
    <col min="35" max="35" width="11" style="1" bestFit="1" customWidth="1"/>
    <col min="36" max="36" width="12.33203125" style="1" bestFit="1" customWidth="1"/>
    <col min="37" max="37" width="11.6640625" style="1" bestFit="1" customWidth="1"/>
    <col min="38" max="38" width="11" style="1" bestFit="1" customWidth="1"/>
    <col min="39" max="39" width="10" style="1" bestFit="1" customWidth="1"/>
    <col min="40" max="40" width="21.5" style="1" customWidth="1"/>
    <col min="41" max="42" width="11" style="1" bestFit="1" customWidth="1"/>
    <col min="43" max="43" width="11.6640625" style="1" bestFit="1" customWidth="1"/>
    <col min="44" max="44" width="11" style="1" bestFit="1" customWidth="1"/>
    <col min="45" max="46" width="9.83203125" style="1" bestFit="1" customWidth="1"/>
    <col min="47" max="47" width="11" style="1" bestFit="1" customWidth="1"/>
    <col min="48" max="48" width="12.33203125" style="1" bestFit="1" customWidth="1"/>
    <col min="49" max="49" width="11.6640625" style="1" bestFit="1" customWidth="1"/>
    <col min="50" max="50" width="11" style="1" bestFit="1" customWidth="1"/>
    <col min="51" max="16384" width="9.1640625" style="1"/>
  </cols>
  <sheetData>
    <row r="1" spans="1:50" x14ac:dyDescent="0.2">
      <c r="C1" s="41" t="s">
        <v>0</v>
      </c>
      <c r="D1" s="42" t="s">
        <v>1</v>
      </c>
      <c r="E1" s="42"/>
      <c r="F1" s="42"/>
      <c r="G1" s="35"/>
      <c r="H1" s="34" t="s">
        <v>2</v>
      </c>
      <c r="I1" s="42"/>
      <c r="J1" s="42"/>
      <c r="K1" s="35"/>
      <c r="L1" s="36" t="s">
        <v>3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8"/>
      <c r="AE1" s="34" t="s">
        <v>4</v>
      </c>
      <c r="AF1" s="42"/>
      <c r="AG1" s="42"/>
      <c r="AH1" s="35"/>
      <c r="AI1" s="43" t="s">
        <v>5</v>
      </c>
      <c r="AJ1" s="44"/>
      <c r="AK1" s="44"/>
      <c r="AL1" s="45"/>
      <c r="AM1" s="34" t="s">
        <v>6</v>
      </c>
      <c r="AN1" s="35"/>
      <c r="AO1" s="36" t="s">
        <v>7</v>
      </c>
      <c r="AP1" s="37"/>
      <c r="AQ1" s="37"/>
      <c r="AR1" s="38"/>
      <c r="AS1" s="34" t="s">
        <v>8</v>
      </c>
      <c r="AT1" s="35"/>
      <c r="AU1" s="36" t="s">
        <v>9</v>
      </c>
      <c r="AV1" s="37"/>
      <c r="AW1" s="37"/>
      <c r="AX1" s="38"/>
    </row>
    <row r="2" spans="1:50" ht="15" thickBot="1" x14ac:dyDescent="0.25">
      <c r="B2" s="2"/>
      <c r="C2" s="40"/>
      <c r="D2" s="3" t="s">
        <v>10</v>
      </c>
      <c r="E2" s="4" t="s">
        <v>11</v>
      </c>
      <c r="F2" s="4" t="s">
        <v>12</v>
      </c>
      <c r="G2" s="5" t="s">
        <v>13</v>
      </c>
      <c r="H2" s="6" t="s">
        <v>10</v>
      </c>
      <c r="I2" s="4" t="s">
        <v>11</v>
      </c>
      <c r="J2" s="4" t="s">
        <v>12</v>
      </c>
      <c r="K2" s="5" t="s">
        <v>13</v>
      </c>
      <c r="L2" s="7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8" t="s">
        <v>28</v>
      </c>
      <c r="AA2" s="8" t="s">
        <v>29</v>
      </c>
      <c r="AB2" s="8" t="s">
        <v>30</v>
      </c>
      <c r="AC2" s="8" t="s">
        <v>31</v>
      </c>
      <c r="AD2" s="9" t="s">
        <v>32</v>
      </c>
      <c r="AE2" s="6" t="s">
        <v>10</v>
      </c>
      <c r="AF2" s="4" t="s">
        <v>11</v>
      </c>
      <c r="AG2" s="4" t="s">
        <v>12</v>
      </c>
      <c r="AH2" s="5" t="s">
        <v>13</v>
      </c>
      <c r="AI2" s="10" t="s">
        <v>10</v>
      </c>
      <c r="AJ2" s="8" t="s">
        <v>11</v>
      </c>
      <c r="AK2" s="8" t="s">
        <v>12</v>
      </c>
      <c r="AL2" s="11" t="s">
        <v>13</v>
      </c>
      <c r="AM2" s="6" t="s">
        <v>10</v>
      </c>
      <c r="AN2" s="5" t="s">
        <v>11</v>
      </c>
      <c r="AO2" s="7" t="s">
        <v>10</v>
      </c>
      <c r="AP2" s="8" t="s">
        <v>11</v>
      </c>
      <c r="AQ2" s="8" t="s">
        <v>12</v>
      </c>
      <c r="AR2" s="11" t="s">
        <v>13</v>
      </c>
      <c r="AS2" s="6" t="s">
        <v>10</v>
      </c>
      <c r="AT2" s="5" t="s">
        <v>11</v>
      </c>
      <c r="AU2" s="10" t="s">
        <v>10</v>
      </c>
      <c r="AV2" s="8" t="s">
        <v>11</v>
      </c>
      <c r="AW2" s="8" t="s">
        <v>12</v>
      </c>
      <c r="AX2" s="11" t="s">
        <v>13</v>
      </c>
    </row>
    <row r="3" spans="1:50" x14ac:dyDescent="0.2">
      <c r="A3" s="39" t="s">
        <v>55</v>
      </c>
      <c r="B3" s="12" t="s">
        <v>33</v>
      </c>
      <c r="C3" s="13">
        <v>0.20729814785786446</v>
      </c>
      <c r="D3" s="14">
        <v>137</v>
      </c>
      <c r="E3" s="14">
        <v>220</v>
      </c>
      <c r="F3" s="14">
        <f t="shared" ref="F3:F10" si="0">E3-D3</f>
        <v>83</v>
      </c>
      <c r="G3" s="15">
        <f t="shared" ref="G3:G10" si="1">(E3-D3)/D3</f>
        <v>0.6058394160583942</v>
      </c>
      <c r="H3" s="14">
        <v>71</v>
      </c>
      <c r="I3" s="14">
        <v>85</v>
      </c>
      <c r="J3" s="14">
        <f t="shared" ref="J3:J7" si="2">I3-H3</f>
        <v>14</v>
      </c>
      <c r="K3" s="16">
        <f t="shared" ref="K3:K7" si="3">(I3-H3)/H3</f>
        <v>0.19718309859154928</v>
      </c>
      <c r="L3" s="17">
        <v>3200</v>
      </c>
      <c r="M3" s="17">
        <v>4082</v>
      </c>
      <c r="N3" s="17">
        <v>4901</v>
      </c>
      <c r="O3" s="17">
        <v>6891</v>
      </c>
      <c r="P3" s="17">
        <v>6610</v>
      </c>
      <c r="Q3" s="17">
        <v>6867</v>
      </c>
      <c r="R3" s="17">
        <v>4427</v>
      </c>
      <c r="S3" s="17">
        <v>5272</v>
      </c>
      <c r="T3" s="17">
        <v>5466</v>
      </c>
      <c r="U3" s="17">
        <v>7493</v>
      </c>
      <c r="V3" s="17">
        <v>8112</v>
      </c>
      <c r="W3" s="17">
        <v>8510</v>
      </c>
      <c r="X3" s="17">
        <v>7890</v>
      </c>
      <c r="Y3" s="17">
        <v>7484</v>
      </c>
      <c r="Z3" s="17">
        <v>8175</v>
      </c>
      <c r="AA3" s="17">
        <v>9121</v>
      </c>
      <c r="AB3" s="17">
        <f t="shared" ref="AB3:AB10" si="4">AA3-L3</f>
        <v>5921</v>
      </c>
      <c r="AC3" s="18">
        <f t="shared" ref="AC3:AC10" si="5">(AA3-L3)/L3</f>
        <v>1.8503125</v>
      </c>
      <c r="AD3" s="17">
        <v>104501</v>
      </c>
      <c r="AE3" s="19">
        <v>27.765499999999999</v>
      </c>
      <c r="AF3" s="19">
        <v>31.984000000000002</v>
      </c>
      <c r="AG3" s="19">
        <f t="shared" ref="AG3:AG10" si="6">AF3-AE3</f>
        <v>4.2185000000000024</v>
      </c>
      <c r="AH3" s="16">
        <f t="shared" ref="AH3:AH10" si="7">(AF3-AE3)/AE3</f>
        <v>0.15193315445426889</v>
      </c>
      <c r="AI3" s="19">
        <v>5412.54</v>
      </c>
      <c r="AJ3" s="19">
        <v>7133.88</v>
      </c>
      <c r="AK3" s="19">
        <f t="shared" ref="AK3:AK10" si="8">AJ3-AI3</f>
        <v>1721.3400000000001</v>
      </c>
      <c r="AL3" s="16">
        <f t="shared" ref="AL3:AL10" si="9">(AJ3-AI3)/AI3</f>
        <v>0.31802813466505564</v>
      </c>
      <c r="AM3" s="17">
        <v>401</v>
      </c>
      <c r="AN3" s="17">
        <v>142</v>
      </c>
      <c r="AO3" s="19">
        <v>4753.38</v>
      </c>
      <c r="AP3" s="19">
        <v>6511.09</v>
      </c>
      <c r="AQ3" s="19">
        <f t="shared" ref="AQ3:AQ10" si="10">AP3-AO3</f>
        <v>1757.71</v>
      </c>
      <c r="AR3" s="16">
        <f t="shared" ref="AR3:AR10" si="11">(AP3-AO3)/AO3</f>
        <v>0.36978108209316318</v>
      </c>
      <c r="AS3" s="17">
        <v>139</v>
      </c>
      <c r="AT3" s="17">
        <v>27</v>
      </c>
      <c r="AU3" s="19">
        <v>5762.25</v>
      </c>
      <c r="AV3" s="19">
        <v>7280.1</v>
      </c>
      <c r="AW3" s="19">
        <f t="shared" ref="AW3:AW10" si="12">AV3-AU3</f>
        <v>1517.8500000000004</v>
      </c>
      <c r="AX3" s="16">
        <f t="shared" ref="AX3:AX10" si="13">(AV3-AU3)/AU3</f>
        <v>0.26341272940257721</v>
      </c>
    </row>
    <row r="4" spans="1:50" x14ac:dyDescent="0.2">
      <c r="A4" s="39"/>
      <c r="B4" s="12" t="s">
        <v>34</v>
      </c>
      <c r="C4" s="13">
        <v>0.14929722545138005</v>
      </c>
      <c r="D4" s="14">
        <v>105</v>
      </c>
      <c r="E4" s="14">
        <v>110</v>
      </c>
      <c r="F4" s="14">
        <f t="shared" si="0"/>
        <v>5</v>
      </c>
      <c r="G4" s="15">
        <f t="shared" si="1"/>
        <v>4.7619047619047616E-2</v>
      </c>
      <c r="H4" s="14">
        <v>58</v>
      </c>
      <c r="I4" s="14">
        <v>69</v>
      </c>
      <c r="J4" s="14">
        <f t="shared" si="2"/>
        <v>11</v>
      </c>
      <c r="K4" s="16">
        <f t="shared" si="3"/>
        <v>0.18965517241379309</v>
      </c>
      <c r="L4" s="17">
        <v>7260</v>
      </c>
      <c r="M4" s="17">
        <v>8210</v>
      </c>
      <c r="N4" s="17">
        <v>11890</v>
      </c>
      <c r="O4" s="17">
        <v>10783</v>
      </c>
      <c r="P4" s="17">
        <v>12507</v>
      </c>
      <c r="Q4" s="17">
        <v>14084</v>
      </c>
      <c r="R4" s="17">
        <v>12470</v>
      </c>
      <c r="S4" s="17">
        <v>13938</v>
      </c>
      <c r="T4" s="17">
        <v>20554</v>
      </c>
      <c r="U4" s="17">
        <v>16821</v>
      </c>
      <c r="V4" s="17">
        <v>26135</v>
      </c>
      <c r="W4" s="17">
        <v>18895</v>
      </c>
      <c r="X4" s="17">
        <v>16901</v>
      </c>
      <c r="Y4" s="17">
        <v>15322</v>
      </c>
      <c r="Z4" s="17">
        <v>13139</v>
      </c>
      <c r="AA4" s="17">
        <v>13074</v>
      </c>
      <c r="AB4" s="17">
        <f t="shared" si="4"/>
        <v>5814</v>
      </c>
      <c r="AC4" s="18">
        <f t="shared" si="5"/>
        <v>0.80082644628099175</v>
      </c>
      <c r="AD4" s="17">
        <v>231983</v>
      </c>
      <c r="AE4" s="19">
        <v>23.782</v>
      </c>
      <c r="AF4" s="19">
        <v>26.765000000000001</v>
      </c>
      <c r="AG4" s="19">
        <f t="shared" si="6"/>
        <v>2.9830000000000005</v>
      </c>
      <c r="AH4" s="16">
        <f t="shared" si="7"/>
        <v>0.12543099823395848</v>
      </c>
      <c r="AI4" s="19">
        <v>4289.1000000000004</v>
      </c>
      <c r="AJ4" s="19">
        <v>5134.18</v>
      </c>
      <c r="AK4" s="19">
        <f t="shared" si="8"/>
        <v>845.07999999999993</v>
      </c>
      <c r="AL4" s="16">
        <f t="shared" si="9"/>
        <v>0.19702967988622319</v>
      </c>
      <c r="AM4" s="17">
        <v>926</v>
      </c>
      <c r="AN4" s="17">
        <v>494</v>
      </c>
      <c r="AO4" s="19">
        <v>4382.5</v>
      </c>
      <c r="AP4" s="19">
        <v>4928.04</v>
      </c>
      <c r="AQ4" s="19">
        <f t="shared" si="10"/>
        <v>545.54</v>
      </c>
      <c r="AR4" s="16">
        <f t="shared" si="11"/>
        <v>0.12448146035367939</v>
      </c>
      <c r="AS4" s="17">
        <v>431</v>
      </c>
      <c r="AT4" s="17">
        <v>272</v>
      </c>
      <c r="AU4" s="19">
        <v>4207.76</v>
      </c>
      <c r="AV4" s="19">
        <v>5386.76</v>
      </c>
      <c r="AW4" s="19">
        <f t="shared" si="12"/>
        <v>1179</v>
      </c>
      <c r="AX4" s="16">
        <f t="shared" si="13"/>
        <v>0.28019658915907752</v>
      </c>
    </row>
    <row r="5" spans="1:50" x14ac:dyDescent="0.2">
      <c r="A5" s="39"/>
      <c r="B5" s="12" t="s">
        <v>35</v>
      </c>
      <c r="C5" s="13">
        <v>0.13790986661164573</v>
      </c>
      <c r="D5" s="14">
        <v>127</v>
      </c>
      <c r="E5" s="14">
        <v>130</v>
      </c>
      <c r="F5" s="14">
        <f t="shared" si="0"/>
        <v>3</v>
      </c>
      <c r="G5" s="15">
        <f t="shared" si="1"/>
        <v>2.3622047244094488E-2</v>
      </c>
      <c r="H5" s="14">
        <v>55</v>
      </c>
      <c r="I5" s="14">
        <v>65</v>
      </c>
      <c r="J5" s="14">
        <f t="shared" si="2"/>
        <v>10</v>
      </c>
      <c r="K5" s="16">
        <f t="shared" si="3"/>
        <v>0.18181818181818182</v>
      </c>
      <c r="L5" s="17">
        <v>2471</v>
      </c>
      <c r="M5" s="17">
        <v>4470</v>
      </c>
      <c r="N5" s="17">
        <v>4610</v>
      </c>
      <c r="O5" s="17">
        <v>5226</v>
      </c>
      <c r="P5" s="17">
        <v>5438</v>
      </c>
      <c r="Q5" s="17">
        <v>6287</v>
      </c>
      <c r="R5" s="17">
        <v>4914</v>
      </c>
      <c r="S5" s="17">
        <v>4394</v>
      </c>
      <c r="T5" s="17">
        <v>5632</v>
      </c>
      <c r="U5" s="17">
        <v>5722</v>
      </c>
      <c r="V5" s="17">
        <v>5244</v>
      </c>
      <c r="W5" s="17">
        <v>5650</v>
      </c>
      <c r="X5" s="17">
        <v>5510</v>
      </c>
      <c r="Y5" s="17">
        <v>5960</v>
      </c>
      <c r="Z5" s="17">
        <v>3968</v>
      </c>
      <c r="AA5" s="17">
        <v>5680</v>
      </c>
      <c r="AB5" s="17">
        <f t="shared" si="4"/>
        <v>3209</v>
      </c>
      <c r="AC5" s="18">
        <f t="shared" si="5"/>
        <v>1.2986645082962363</v>
      </c>
      <c r="AD5" s="17">
        <v>81176</v>
      </c>
      <c r="AE5" s="19">
        <v>26.602</v>
      </c>
      <c r="AF5" s="19">
        <v>29.042000000000002</v>
      </c>
      <c r="AG5" s="19">
        <f t="shared" si="6"/>
        <v>2.4400000000000013</v>
      </c>
      <c r="AH5" s="16">
        <f t="shared" si="7"/>
        <v>9.1722426885196648E-2</v>
      </c>
      <c r="AI5" s="19">
        <v>3818.49</v>
      </c>
      <c r="AJ5" s="19">
        <v>4697.83</v>
      </c>
      <c r="AK5" s="19">
        <f t="shared" si="8"/>
        <v>879.34000000000015</v>
      </c>
      <c r="AL5" s="16">
        <f t="shared" si="9"/>
        <v>0.23028474606454388</v>
      </c>
      <c r="AM5" s="17">
        <v>1119</v>
      </c>
      <c r="AN5" s="17">
        <v>605</v>
      </c>
      <c r="AO5" s="19">
        <v>5346.75</v>
      </c>
      <c r="AP5" s="19">
        <v>6623.55</v>
      </c>
      <c r="AQ5" s="19">
        <f t="shared" si="10"/>
        <v>1276.8000000000002</v>
      </c>
      <c r="AR5" s="16">
        <f t="shared" si="11"/>
        <v>0.2387992705849348</v>
      </c>
      <c r="AS5" s="17">
        <v>351</v>
      </c>
      <c r="AT5" s="17">
        <v>192</v>
      </c>
      <c r="AU5" s="19">
        <v>3120.02</v>
      </c>
      <c r="AV5" s="19">
        <v>3802.57</v>
      </c>
      <c r="AW5" s="19">
        <f t="shared" si="12"/>
        <v>682.55000000000018</v>
      </c>
      <c r="AX5" s="16">
        <f t="shared" si="13"/>
        <v>0.21876462330369684</v>
      </c>
    </row>
    <row r="6" spans="1:50" x14ac:dyDescent="0.2">
      <c r="A6" s="39"/>
      <c r="B6" s="12" t="s">
        <v>36</v>
      </c>
      <c r="C6" s="13">
        <v>0.13719768330778698</v>
      </c>
      <c r="D6" s="14">
        <v>145</v>
      </c>
      <c r="E6" s="14">
        <v>210</v>
      </c>
      <c r="F6" s="14">
        <f t="shared" si="0"/>
        <v>65</v>
      </c>
      <c r="G6" s="15">
        <f t="shared" si="1"/>
        <v>0.44827586206896552</v>
      </c>
      <c r="H6" s="14">
        <v>69</v>
      </c>
      <c r="I6" s="14">
        <v>77</v>
      </c>
      <c r="J6" s="14">
        <f t="shared" si="2"/>
        <v>8</v>
      </c>
      <c r="K6" s="16">
        <f t="shared" si="3"/>
        <v>0.11594202898550725</v>
      </c>
      <c r="L6" s="17">
        <v>5460</v>
      </c>
      <c r="M6" s="17">
        <v>7463</v>
      </c>
      <c r="N6" s="17">
        <v>6695</v>
      </c>
      <c r="O6" s="17">
        <v>7290</v>
      </c>
      <c r="P6" s="17">
        <v>6129</v>
      </c>
      <c r="Q6" s="17">
        <v>7448</v>
      </c>
      <c r="R6" s="17">
        <v>7674</v>
      </c>
      <c r="S6" s="17">
        <v>10602</v>
      </c>
      <c r="T6" s="17">
        <v>9188</v>
      </c>
      <c r="U6" s="17">
        <v>9718</v>
      </c>
      <c r="V6" s="17">
        <v>10641</v>
      </c>
      <c r="W6" s="17">
        <v>13300</v>
      </c>
      <c r="X6" s="17">
        <v>10276</v>
      </c>
      <c r="Y6" s="17">
        <v>9974</v>
      </c>
      <c r="Z6" s="17">
        <v>9162</v>
      </c>
      <c r="AA6" s="17">
        <v>10279</v>
      </c>
      <c r="AB6" s="17">
        <f t="shared" si="4"/>
        <v>4819</v>
      </c>
      <c r="AC6" s="18">
        <f t="shared" si="5"/>
        <v>0.88260073260073257</v>
      </c>
      <c r="AD6" s="17">
        <v>141299</v>
      </c>
      <c r="AE6" s="19">
        <v>27.586500000000001</v>
      </c>
      <c r="AF6" s="19">
        <v>31.201000000000001</v>
      </c>
      <c r="AG6" s="19">
        <f t="shared" si="6"/>
        <v>3.6144999999999996</v>
      </c>
      <c r="AH6" s="16">
        <f t="shared" si="7"/>
        <v>0.13102423286752576</v>
      </c>
      <c r="AI6" s="19">
        <v>5541.09</v>
      </c>
      <c r="AJ6" s="19">
        <v>6369.73</v>
      </c>
      <c r="AK6" s="19">
        <f t="shared" si="8"/>
        <v>828.63999999999942</v>
      </c>
      <c r="AL6" s="16">
        <f t="shared" si="9"/>
        <v>0.1495445841883094</v>
      </c>
      <c r="AM6" s="17">
        <v>502</v>
      </c>
      <c r="AN6" s="17">
        <v>366</v>
      </c>
      <c r="AO6" s="19">
        <v>5007.6899999999996</v>
      </c>
      <c r="AP6" s="19">
        <v>5543.47</v>
      </c>
      <c r="AQ6" s="19">
        <f t="shared" si="10"/>
        <v>535.78000000000065</v>
      </c>
      <c r="AR6" s="16">
        <f t="shared" si="11"/>
        <v>0.10699144715427686</v>
      </c>
      <c r="AS6" s="17">
        <v>190</v>
      </c>
      <c r="AT6" s="17">
        <v>115</v>
      </c>
      <c r="AU6" s="19">
        <v>5865.92</v>
      </c>
      <c r="AV6" s="19">
        <v>6748.29</v>
      </c>
      <c r="AW6" s="19">
        <f t="shared" si="12"/>
        <v>882.36999999999989</v>
      </c>
      <c r="AX6" s="16">
        <f t="shared" si="13"/>
        <v>0.15042312203371336</v>
      </c>
    </row>
    <row r="7" spans="1:50" x14ac:dyDescent="0.2">
      <c r="A7" s="39"/>
      <c r="B7" s="12" t="s">
        <v>37</v>
      </c>
      <c r="C7" s="13">
        <v>0.13689580162094336</v>
      </c>
      <c r="D7" s="14">
        <v>190</v>
      </c>
      <c r="E7" s="14">
        <v>280</v>
      </c>
      <c r="F7" s="14">
        <f t="shared" si="0"/>
        <v>90</v>
      </c>
      <c r="G7" s="15">
        <f t="shared" si="1"/>
        <v>0.47368421052631576</v>
      </c>
      <c r="H7" s="14">
        <v>120</v>
      </c>
      <c r="I7" s="14">
        <v>124</v>
      </c>
      <c r="J7" s="14">
        <f t="shared" si="2"/>
        <v>4</v>
      </c>
      <c r="K7" s="16">
        <f t="shared" si="3"/>
        <v>3.3333333333333333E-2</v>
      </c>
      <c r="L7" s="17">
        <v>11020</v>
      </c>
      <c r="M7" s="17">
        <v>15840</v>
      </c>
      <c r="N7" s="17">
        <v>6270</v>
      </c>
      <c r="O7" s="17">
        <v>7140</v>
      </c>
      <c r="P7" s="17">
        <v>7435</v>
      </c>
      <c r="Q7" s="17">
        <v>7695</v>
      </c>
      <c r="R7" s="17">
        <v>7995</v>
      </c>
      <c r="S7" s="17">
        <v>7560</v>
      </c>
      <c r="T7" s="17">
        <v>9000</v>
      </c>
      <c r="U7" s="17">
        <v>8351</v>
      </c>
      <c r="V7" s="17">
        <v>9514</v>
      </c>
      <c r="W7" s="17">
        <v>10390</v>
      </c>
      <c r="X7" s="17">
        <v>10712</v>
      </c>
      <c r="Y7" s="17">
        <v>12040</v>
      </c>
      <c r="Z7" s="17">
        <v>9091</v>
      </c>
      <c r="AA7" s="17">
        <v>12764</v>
      </c>
      <c r="AB7" s="17">
        <f t="shared" si="4"/>
        <v>1744</v>
      </c>
      <c r="AC7" s="18">
        <f t="shared" si="5"/>
        <v>0.15825771324863883</v>
      </c>
      <c r="AD7" s="17">
        <v>152817</v>
      </c>
      <c r="AE7" s="19">
        <v>30.011500000000002</v>
      </c>
      <c r="AF7" s="19">
        <v>31.59</v>
      </c>
      <c r="AG7" s="19">
        <f t="shared" si="6"/>
        <v>1.5784999999999982</v>
      </c>
      <c r="AH7" s="16">
        <f t="shared" si="7"/>
        <v>5.259650467320854E-2</v>
      </c>
      <c r="AI7" s="19">
        <v>8193.44</v>
      </c>
      <c r="AJ7" s="19">
        <v>10696.49</v>
      </c>
      <c r="AK7" s="19">
        <f t="shared" si="8"/>
        <v>2503.0499999999993</v>
      </c>
      <c r="AL7" s="16">
        <f t="shared" si="9"/>
        <v>0.305494395516413</v>
      </c>
      <c r="AM7" s="17">
        <v>144</v>
      </c>
      <c r="AN7" s="17">
        <v>242</v>
      </c>
      <c r="AO7" s="19">
        <v>6770.53</v>
      </c>
      <c r="AP7" s="19">
        <v>8695.2999999999993</v>
      </c>
      <c r="AQ7" s="19">
        <f t="shared" si="10"/>
        <v>1924.7699999999995</v>
      </c>
      <c r="AR7" s="16">
        <f t="shared" si="11"/>
        <v>0.28428645911029116</v>
      </c>
      <c r="AS7" s="17">
        <v>50</v>
      </c>
      <c r="AT7" s="17">
        <v>83</v>
      </c>
      <c r="AU7" s="19">
        <v>8950.31</v>
      </c>
      <c r="AV7" s="19">
        <v>11741.14</v>
      </c>
      <c r="AW7" s="19">
        <f t="shared" si="12"/>
        <v>2790.83</v>
      </c>
      <c r="AX7" s="16">
        <f t="shared" si="13"/>
        <v>0.31181378075172816</v>
      </c>
    </row>
    <row r="8" spans="1:50" x14ac:dyDescent="0.2">
      <c r="A8" s="39"/>
      <c r="B8" s="12" t="s">
        <v>38</v>
      </c>
      <c r="C8" s="13">
        <v>0.10447246504486761</v>
      </c>
      <c r="D8" s="20">
        <v>215</v>
      </c>
      <c r="E8" s="20">
        <v>250</v>
      </c>
      <c r="F8" s="20">
        <f t="shared" si="0"/>
        <v>35</v>
      </c>
      <c r="G8" s="21">
        <f t="shared" si="1"/>
        <v>0.16279069767441862</v>
      </c>
      <c r="H8" s="20">
        <v>78</v>
      </c>
      <c r="I8" s="20"/>
      <c r="J8" s="20"/>
      <c r="K8" s="22"/>
      <c r="L8" s="17">
        <v>5510</v>
      </c>
      <c r="M8" s="17">
        <v>8220</v>
      </c>
      <c r="N8" s="17">
        <v>6712</v>
      </c>
      <c r="O8" s="17">
        <v>7004</v>
      </c>
      <c r="P8" s="17">
        <v>6629</v>
      </c>
      <c r="Q8" s="17">
        <v>8914</v>
      </c>
      <c r="R8" s="17">
        <v>6250</v>
      </c>
      <c r="S8" s="17">
        <v>8995</v>
      </c>
      <c r="T8" s="17">
        <v>9790</v>
      </c>
      <c r="U8" s="17">
        <v>8965</v>
      </c>
      <c r="V8" s="17">
        <v>7804</v>
      </c>
      <c r="W8" s="17">
        <v>7338</v>
      </c>
      <c r="X8" s="17">
        <v>9510</v>
      </c>
      <c r="Y8" s="17">
        <v>10263</v>
      </c>
      <c r="Z8" s="17">
        <v>9623</v>
      </c>
      <c r="AA8" s="17">
        <v>9358</v>
      </c>
      <c r="AB8" s="17">
        <f t="shared" si="4"/>
        <v>3848</v>
      </c>
      <c r="AC8" s="18">
        <f t="shared" si="5"/>
        <v>0.69836660617059887</v>
      </c>
      <c r="AD8" s="23">
        <v>130885</v>
      </c>
      <c r="AE8" s="24">
        <v>27.7</v>
      </c>
      <c r="AF8" s="24">
        <v>31.382999999999999</v>
      </c>
      <c r="AG8" s="24">
        <f t="shared" si="6"/>
        <v>3.6829999999999998</v>
      </c>
      <c r="AH8" s="22">
        <f t="shared" si="7"/>
        <v>0.13296028880866426</v>
      </c>
      <c r="AI8" s="24">
        <v>7195.64</v>
      </c>
      <c r="AJ8" s="24">
        <v>7537.41</v>
      </c>
      <c r="AK8" s="24">
        <f t="shared" si="8"/>
        <v>341.76999999999953</v>
      </c>
      <c r="AL8" s="22">
        <f t="shared" si="9"/>
        <v>4.7496817517274283E-2</v>
      </c>
      <c r="AM8" s="23">
        <v>283</v>
      </c>
      <c r="AN8" s="23">
        <v>566</v>
      </c>
      <c r="AO8" s="24">
        <v>6064.52</v>
      </c>
      <c r="AP8" s="24">
        <v>6339.14</v>
      </c>
      <c r="AQ8" s="24">
        <f t="shared" si="10"/>
        <v>274.61999999999989</v>
      </c>
      <c r="AR8" s="22">
        <f t="shared" si="11"/>
        <v>4.5283056202304529E-2</v>
      </c>
      <c r="AS8" s="23">
        <v>101</v>
      </c>
      <c r="AT8" s="23">
        <v>261</v>
      </c>
      <c r="AU8" s="24">
        <v>7823.35</v>
      </c>
      <c r="AV8" s="24">
        <v>8562.81</v>
      </c>
      <c r="AW8" s="24">
        <f t="shared" si="12"/>
        <v>739.45999999999913</v>
      </c>
      <c r="AX8" s="22">
        <f t="shared" si="13"/>
        <v>9.4519611164015305E-2</v>
      </c>
    </row>
    <row r="9" spans="1:50" x14ac:dyDescent="0.2">
      <c r="A9" s="39"/>
      <c r="B9" s="12" t="s">
        <v>39</v>
      </c>
      <c r="C9" s="13">
        <v>9.4261606965159395E-2</v>
      </c>
      <c r="D9" s="14">
        <v>50</v>
      </c>
      <c r="E9" s="14">
        <v>104</v>
      </c>
      <c r="F9" s="14">
        <f t="shared" si="0"/>
        <v>54</v>
      </c>
      <c r="G9" s="15">
        <f t="shared" si="1"/>
        <v>1.08</v>
      </c>
      <c r="H9" s="14">
        <v>29</v>
      </c>
      <c r="I9" s="14">
        <v>34</v>
      </c>
      <c r="J9" s="14">
        <f t="shared" ref="J9:J10" si="14">I9-H9</f>
        <v>5</v>
      </c>
      <c r="K9" s="16">
        <f t="shared" ref="K9:K10" si="15">(I9-H9)/H9</f>
        <v>0.17241379310344829</v>
      </c>
      <c r="L9" s="17">
        <v>2070</v>
      </c>
      <c r="M9" s="17">
        <v>2329</v>
      </c>
      <c r="N9" s="17">
        <v>2872</v>
      </c>
      <c r="O9" s="17">
        <v>3093</v>
      </c>
      <c r="P9" s="17">
        <v>3100</v>
      </c>
      <c r="Q9" s="17">
        <v>4793</v>
      </c>
      <c r="R9" s="17">
        <v>3022</v>
      </c>
      <c r="S9" s="17">
        <v>3769</v>
      </c>
      <c r="T9" s="17">
        <v>4126</v>
      </c>
      <c r="U9" s="17">
        <v>4191</v>
      </c>
      <c r="V9" s="17">
        <v>4644</v>
      </c>
      <c r="W9" s="17">
        <v>5746</v>
      </c>
      <c r="X9" s="17">
        <v>8786</v>
      </c>
      <c r="Y9" s="17">
        <v>6681</v>
      </c>
      <c r="Z9" s="17">
        <v>5454</v>
      </c>
      <c r="AA9" s="17">
        <v>6736</v>
      </c>
      <c r="AB9" s="17">
        <f t="shared" si="4"/>
        <v>4666</v>
      </c>
      <c r="AC9" s="18">
        <f t="shared" si="5"/>
        <v>2.2541062801932368</v>
      </c>
      <c r="AD9" s="17">
        <v>71412</v>
      </c>
      <c r="AE9" s="19">
        <v>21.177499999999998</v>
      </c>
      <c r="AF9" s="19">
        <v>22.884</v>
      </c>
      <c r="AG9" s="19">
        <f t="shared" si="6"/>
        <v>1.7065000000000019</v>
      </c>
      <c r="AH9" s="16">
        <f t="shared" si="7"/>
        <v>8.0580805099752198E-2</v>
      </c>
      <c r="AI9" s="19">
        <v>5357.53</v>
      </c>
      <c r="AJ9" s="19">
        <v>6009.13</v>
      </c>
      <c r="AK9" s="19">
        <f t="shared" si="8"/>
        <v>651.60000000000036</v>
      </c>
      <c r="AL9" s="16">
        <f t="shared" si="9"/>
        <v>0.12162321069597377</v>
      </c>
      <c r="AM9" s="17">
        <v>582</v>
      </c>
      <c r="AN9" s="17">
        <v>364</v>
      </c>
      <c r="AO9" s="19">
        <v>5358.74</v>
      </c>
      <c r="AP9" s="19">
        <v>6233.05</v>
      </c>
      <c r="AQ9" s="19">
        <f t="shared" si="10"/>
        <v>874.3100000000004</v>
      </c>
      <c r="AR9" s="16">
        <f t="shared" si="11"/>
        <v>0.16315589112365975</v>
      </c>
      <c r="AS9" s="17">
        <v>246</v>
      </c>
      <c r="AT9" s="17">
        <v>137</v>
      </c>
      <c r="AU9" s="19">
        <v>5356.65</v>
      </c>
      <c r="AV9" s="19">
        <v>5873.99</v>
      </c>
      <c r="AW9" s="19">
        <f t="shared" si="12"/>
        <v>517.34000000000015</v>
      </c>
      <c r="AX9" s="16">
        <f t="shared" si="13"/>
        <v>9.6579018603044853E-2</v>
      </c>
    </row>
    <row r="10" spans="1:50" x14ac:dyDescent="0.2">
      <c r="A10" s="39"/>
      <c r="B10" s="12" t="s">
        <v>40</v>
      </c>
      <c r="C10" s="13">
        <v>8.0565534733847075E-2</v>
      </c>
      <c r="D10" s="14">
        <v>180</v>
      </c>
      <c r="E10" s="14">
        <v>205</v>
      </c>
      <c r="F10" s="14">
        <f t="shared" si="0"/>
        <v>25</v>
      </c>
      <c r="G10" s="15">
        <f t="shared" si="1"/>
        <v>0.1388888888888889</v>
      </c>
      <c r="H10" s="14">
        <v>67</v>
      </c>
      <c r="I10" s="14">
        <v>90</v>
      </c>
      <c r="J10" s="14">
        <f t="shared" si="14"/>
        <v>23</v>
      </c>
      <c r="K10" s="16">
        <f t="shared" si="15"/>
        <v>0.34328358208955223</v>
      </c>
      <c r="L10" s="17">
        <v>5357</v>
      </c>
      <c r="M10" s="17">
        <v>3490</v>
      </c>
      <c r="N10" s="17">
        <v>4483</v>
      </c>
      <c r="O10" s="17">
        <v>6110</v>
      </c>
      <c r="P10" s="17">
        <v>7209</v>
      </c>
      <c r="Q10" s="17">
        <v>5797</v>
      </c>
      <c r="R10" s="17">
        <v>5975</v>
      </c>
      <c r="S10" s="17">
        <v>5098</v>
      </c>
      <c r="T10" s="17">
        <v>7181</v>
      </c>
      <c r="U10" s="17">
        <v>7162</v>
      </c>
      <c r="V10" s="17">
        <v>6530</v>
      </c>
      <c r="W10" s="17">
        <v>6104</v>
      </c>
      <c r="X10" s="17">
        <v>5977</v>
      </c>
      <c r="Y10" s="17">
        <v>5988</v>
      </c>
      <c r="Z10" s="17">
        <v>5805</v>
      </c>
      <c r="AA10" s="17">
        <v>6290</v>
      </c>
      <c r="AB10" s="17">
        <f t="shared" si="4"/>
        <v>933</v>
      </c>
      <c r="AC10" s="18">
        <f t="shared" si="5"/>
        <v>0.17416464439051707</v>
      </c>
      <c r="AD10" s="17">
        <v>94556</v>
      </c>
      <c r="AE10" s="19">
        <v>25.134</v>
      </c>
      <c r="AF10" s="19">
        <v>29.013000000000002</v>
      </c>
      <c r="AG10" s="19">
        <f t="shared" si="6"/>
        <v>3.8790000000000013</v>
      </c>
      <c r="AH10" s="16">
        <f t="shared" si="7"/>
        <v>0.15433277631893058</v>
      </c>
      <c r="AI10" s="19">
        <v>6845.71</v>
      </c>
      <c r="AJ10" s="19">
        <v>6387.26</v>
      </c>
      <c r="AK10" s="19">
        <f t="shared" si="8"/>
        <v>-458.44999999999982</v>
      </c>
      <c r="AL10" s="16">
        <f t="shared" si="9"/>
        <v>-6.6968948436319939E-2</v>
      </c>
      <c r="AM10" s="17">
        <v>378</v>
      </c>
      <c r="AN10" s="17">
        <v>385</v>
      </c>
      <c r="AO10" s="19">
        <v>4943.21</v>
      </c>
      <c r="AP10" s="19">
        <v>4870.1000000000004</v>
      </c>
      <c r="AQ10" s="19">
        <f t="shared" si="10"/>
        <v>-73.109999999999673</v>
      </c>
      <c r="AR10" s="16">
        <f t="shared" si="11"/>
        <v>-1.4789984645604713E-2</v>
      </c>
      <c r="AS10" s="17">
        <v>70</v>
      </c>
      <c r="AT10" s="17">
        <v>146</v>
      </c>
      <c r="AU10" s="19">
        <v>7278.1</v>
      </c>
      <c r="AV10" s="19">
        <v>7314.05</v>
      </c>
      <c r="AW10" s="19">
        <f t="shared" si="12"/>
        <v>35.949999999999818</v>
      </c>
      <c r="AX10" s="16">
        <f t="shared" si="13"/>
        <v>4.9394759621329493E-3</v>
      </c>
    </row>
    <row r="11" spans="1:50" x14ac:dyDescent="0.2">
      <c r="A11" s="39"/>
      <c r="B11" s="12" t="s">
        <v>41</v>
      </c>
      <c r="C11" s="25">
        <f t="shared" ref="C11:AX11" si="16">AVERAGE(C3:C10)</f>
        <v>0.13098729144918683</v>
      </c>
      <c r="D11" s="26">
        <f t="shared" si="16"/>
        <v>143.625</v>
      </c>
      <c r="E11" s="26">
        <f t="shared" si="16"/>
        <v>188.625</v>
      </c>
      <c r="F11" s="26">
        <f t="shared" si="16"/>
        <v>45</v>
      </c>
      <c r="G11" s="27">
        <f t="shared" si="16"/>
        <v>0.37259002126001567</v>
      </c>
      <c r="H11" s="26">
        <f t="shared" si="16"/>
        <v>68.375</v>
      </c>
      <c r="I11" s="26">
        <f t="shared" si="16"/>
        <v>77.714285714285708</v>
      </c>
      <c r="J11" s="26">
        <f t="shared" si="16"/>
        <v>10.714285714285714</v>
      </c>
      <c r="K11" s="27">
        <f t="shared" si="16"/>
        <v>0.17623274147648077</v>
      </c>
      <c r="L11" s="26">
        <f t="shared" si="16"/>
        <v>5293.5</v>
      </c>
      <c r="M11" s="26">
        <f t="shared" si="16"/>
        <v>6763</v>
      </c>
      <c r="N11" s="26">
        <f t="shared" si="16"/>
        <v>6054.125</v>
      </c>
      <c r="O11" s="26">
        <f t="shared" si="16"/>
        <v>6692.125</v>
      </c>
      <c r="P11" s="26">
        <f t="shared" si="16"/>
        <v>6882.125</v>
      </c>
      <c r="Q11" s="26">
        <f t="shared" si="16"/>
        <v>7735.625</v>
      </c>
      <c r="R11" s="26">
        <f t="shared" si="16"/>
        <v>6590.875</v>
      </c>
      <c r="S11" s="26">
        <f t="shared" si="16"/>
        <v>7453.5</v>
      </c>
      <c r="T11" s="26">
        <f t="shared" si="16"/>
        <v>8867.125</v>
      </c>
      <c r="U11" s="26">
        <f t="shared" si="16"/>
        <v>8552.875</v>
      </c>
      <c r="V11" s="26">
        <f t="shared" si="16"/>
        <v>9828</v>
      </c>
      <c r="W11" s="26">
        <f t="shared" si="16"/>
        <v>9491.625</v>
      </c>
      <c r="X11" s="26">
        <f t="shared" si="16"/>
        <v>9445.25</v>
      </c>
      <c r="Y11" s="26">
        <f t="shared" si="16"/>
        <v>9214</v>
      </c>
      <c r="Z11" s="26">
        <f t="shared" si="16"/>
        <v>8052.125</v>
      </c>
      <c r="AA11" s="26">
        <f t="shared" si="16"/>
        <v>9162.75</v>
      </c>
      <c r="AB11" s="26">
        <f t="shared" si="16"/>
        <v>3869.25</v>
      </c>
      <c r="AC11" s="27">
        <f t="shared" si="16"/>
        <v>1.0146624288976189</v>
      </c>
      <c r="AD11" s="26">
        <f t="shared" si="16"/>
        <v>126078.625</v>
      </c>
      <c r="AE11" s="26">
        <f t="shared" si="16"/>
        <v>26.219875000000002</v>
      </c>
      <c r="AF11" s="26">
        <f t="shared" si="16"/>
        <v>29.232749999999999</v>
      </c>
      <c r="AG11" s="26">
        <f t="shared" si="16"/>
        <v>3.0128750000000006</v>
      </c>
      <c r="AH11" s="27">
        <f t="shared" si="16"/>
        <v>0.11507264841768818</v>
      </c>
      <c r="AI11" s="26">
        <f t="shared" si="16"/>
        <v>5831.6925000000001</v>
      </c>
      <c r="AJ11" s="26">
        <f t="shared" si="16"/>
        <v>6745.7387500000004</v>
      </c>
      <c r="AK11" s="26">
        <f t="shared" si="16"/>
        <v>914.04624999999987</v>
      </c>
      <c r="AL11" s="27">
        <f t="shared" si="16"/>
        <v>0.16281657751218417</v>
      </c>
      <c r="AM11" s="26">
        <f t="shared" si="16"/>
        <v>541.875</v>
      </c>
      <c r="AN11" s="26">
        <f t="shared" si="16"/>
        <v>395.5</v>
      </c>
      <c r="AO11" s="26">
        <f t="shared" si="16"/>
        <v>5328.415</v>
      </c>
      <c r="AP11" s="26">
        <f t="shared" si="16"/>
        <v>6217.9675000000007</v>
      </c>
      <c r="AQ11" s="26">
        <f t="shared" si="16"/>
        <v>889.55250000000012</v>
      </c>
      <c r="AR11" s="27">
        <f t="shared" si="16"/>
        <v>0.16474858524708813</v>
      </c>
      <c r="AS11" s="26">
        <f t="shared" si="16"/>
        <v>197.25</v>
      </c>
      <c r="AT11" s="26">
        <f t="shared" si="16"/>
        <v>154.125</v>
      </c>
      <c r="AU11" s="26">
        <f t="shared" si="16"/>
        <v>6045.5450000000001</v>
      </c>
      <c r="AV11" s="26">
        <f t="shared" si="16"/>
        <v>7088.7137499999999</v>
      </c>
      <c r="AW11" s="26">
        <f t="shared" si="16"/>
        <v>1043.1687499999998</v>
      </c>
      <c r="AX11" s="27">
        <f t="shared" si="16"/>
        <v>0.17758111879749827</v>
      </c>
    </row>
    <row r="12" spans="1:50" s="28" customFormat="1" ht="15" thickBot="1" x14ac:dyDescent="0.25">
      <c r="A12" s="40"/>
      <c r="B12" s="12" t="s">
        <v>42</v>
      </c>
      <c r="C12" s="25">
        <f t="shared" ref="C12:AX12" si="17">STDEV(C3:C10)</f>
        <v>3.9413861712582286E-2</v>
      </c>
      <c r="D12" s="28">
        <f t="shared" si="17"/>
        <v>52.301154043536307</v>
      </c>
      <c r="E12" s="28">
        <f t="shared" si="17"/>
        <v>66.123126492497747</v>
      </c>
      <c r="F12" s="28">
        <f t="shared" si="17"/>
        <v>33.410862220028299</v>
      </c>
      <c r="G12" s="29">
        <f t="shared" si="17"/>
        <v>0.35793041938413894</v>
      </c>
      <c r="H12" s="28">
        <f t="shared" si="17"/>
        <v>25.645592770911506</v>
      </c>
      <c r="I12" s="28">
        <f t="shared" si="17"/>
        <v>27.372213926500272</v>
      </c>
      <c r="J12" s="28">
        <f t="shared" si="17"/>
        <v>6.4216894379980136</v>
      </c>
      <c r="K12" s="28">
        <f t="shared" si="17"/>
        <v>9.3653665914961451E-2</v>
      </c>
      <c r="L12" s="28">
        <f t="shared" si="17"/>
        <v>2914.9553292338069</v>
      </c>
      <c r="M12" s="28">
        <f t="shared" si="17"/>
        <v>4308.0834651683736</v>
      </c>
      <c r="N12" s="28">
        <f t="shared" si="17"/>
        <v>2698.0709213118494</v>
      </c>
      <c r="O12" s="28">
        <f t="shared" si="17"/>
        <v>2167.0326938993267</v>
      </c>
      <c r="P12" s="28">
        <f t="shared" si="17"/>
        <v>2649.7176365740233</v>
      </c>
      <c r="Q12" s="28">
        <f t="shared" si="17"/>
        <v>2854.6989802529342</v>
      </c>
      <c r="R12" s="28">
        <f t="shared" si="17"/>
        <v>2889.2774399493032</v>
      </c>
      <c r="S12" s="28">
        <f t="shared" si="17"/>
        <v>3537.4074445236624</v>
      </c>
      <c r="T12" s="28">
        <f t="shared" si="17"/>
        <v>5139.6265967063628</v>
      </c>
      <c r="U12" s="28">
        <f t="shared" si="17"/>
        <v>3780.1678510540846</v>
      </c>
      <c r="V12" s="28">
        <f t="shared" si="17"/>
        <v>6891.845720020975</v>
      </c>
      <c r="W12" s="28">
        <f t="shared" si="17"/>
        <v>4622.9202254326528</v>
      </c>
      <c r="X12" s="28">
        <f t="shared" si="17"/>
        <v>3550.7658228291302</v>
      </c>
      <c r="Y12" s="28">
        <f t="shared" si="17"/>
        <v>3324.7238768268949</v>
      </c>
      <c r="Z12" s="28">
        <f t="shared" si="17"/>
        <v>2906.8890802712099</v>
      </c>
      <c r="AA12" s="28">
        <f t="shared" si="17"/>
        <v>2823.9818266311236</v>
      </c>
      <c r="AB12" s="28">
        <f t="shared" si="17"/>
        <v>1816.7160128728351</v>
      </c>
      <c r="AC12" s="29">
        <f t="shared" si="17"/>
        <v>0.74816575820591458</v>
      </c>
      <c r="AD12" s="28">
        <f t="shared" si="17"/>
        <v>51615.880454807702</v>
      </c>
      <c r="AE12" s="28">
        <f t="shared" si="17"/>
        <v>2.76502996302546</v>
      </c>
      <c r="AF12" s="28">
        <f t="shared" si="17"/>
        <v>3.1191729558604839</v>
      </c>
      <c r="AG12" s="28">
        <f t="shared" si="17"/>
        <v>1.007674116468217</v>
      </c>
      <c r="AH12" s="29">
        <f t="shared" si="17"/>
        <v>3.6292382755485172E-2</v>
      </c>
      <c r="AI12" s="28">
        <f t="shared" si="17"/>
        <v>1482.4680271931661</v>
      </c>
      <c r="AJ12" s="28">
        <f t="shared" si="17"/>
        <v>1851.2299515761094</v>
      </c>
      <c r="AK12" s="28">
        <f t="shared" si="17"/>
        <v>883.98733895163082</v>
      </c>
      <c r="AL12" s="29">
        <f t="shared" si="17"/>
        <v>0.12991379098864594</v>
      </c>
      <c r="AM12" s="28">
        <f t="shared" si="17"/>
        <v>328.60025106502889</v>
      </c>
      <c r="AN12" s="28">
        <f t="shared" si="17"/>
        <v>156.962233856246</v>
      </c>
      <c r="AO12" s="28">
        <f t="shared" si="17"/>
        <v>765.27024901571247</v>
      </c>
      <c r="AP12" s="28">
        <f t="shared" si="17"/>
        <v>1215.266647210156</v>
      </c>
      <c r="AQ12" s="28">
        <f t="shared" si="17"/>
        <v>709.51958873089416</v>
      </c>
      <c r="AR12" s="29">
        <f t="shared" si="17"/>
        <v>0.12721023531437084</v>
      </c>
      <c r="AS12" s="28">
        <f t="shared" si="17"/>
        <v>136.9251620411676</v>
      </c>
      <c r="AT12" s="28">
        <f t="shared" si="17"/>
        <v>84.397761480131351</v>
      </c>
      <c r="AU12" s="28">
        <f t="shared" si="17"/>
        <v>1913.8849757122657</v>
      </c>
      <c r="AV12" s="28">
        <f t="shared" si="17"/>
        <v>2366.1984073128024</v>
      </c>
      <c r="AW12" s="28">
        <f t="shared" si="17"/>
        <v>831.28290462801283</v>
      </c>
      <c r="AX12" s="29">
        <f t="shared" si="17"/>
        <v>0.1079779981760145</v>
      </c>
    </row>
    <row r="13" spans="1:50" x14ac:dyDescent="0.2">
      <c r="A13" s="41" t="s">
        <v>43</v>
      </c>
      <c r="B13" s="30" t="s">
        <v>44</v>
      </c>
      <c r="C13" s="13">
        <v>8.5000000000000006E-3</v>
      </c>
      <c r="D13" s="14">
        <v>186</v>
      </c>
      <c r="E13" s="14">
        <v>235</v>
      </c>
      <c r="F13" s="14">
        <f t="shared" ref="F13:F20" si="18">E13-D13</f>
        <v>49</v>
      </c>
      <c r="G13" s="15">
        <f t="shared" ref="G13:G20" si="19">(E13-D13)/D13</f>
        <v>0.26344086021505375</v>
      </c>
      <c r="H13" s="14">
        <v>101</v>
      </c>
      <c r="I13" s="14">
        <v>121</v>
      </c>
      <c r="J13" s="14">
        <f t="shared" ref="J13:J20" si="20">I13-H13</f>
        <v>20</v>
      </c>
      <c r="K13" s="16">
        <f t="shared" ref="K13:K20" si="21">(I13-H13)/H13</f>
        <v>0.19801980198019803</v>
      </c>
      <c r="L13" s="17">
        <v>9690</v>
      </c>
      <c r="M13" s="17">
        <v>11883</v>
      </c>
      <c r="N13" s="17">
        <v>10515</v>
      </c>
      <c r="O13" s="17">
        <v>14826</v>
      </c>
      <c r="P13" s="17">
        <v>16129</v>
      </c>
      <c r="Q13" s="17">
        <v>19360</v>
      </c>
      <c r="R13" s="17">
        <v>14660</v>
      </c>
      <c r="S13" s="17">
        <v>16215</v>
      </c>
      <c r="T13" s="17">
        <v>14354</v>
      </c>
      <c r="U13" s="17">
        <v>17500</v>
      </c>
      <c r="V13" s="17">
        <v>16240</v>
      </c>
      <c r="W13" s="17">
        <v>21110</v>
      </c>
      <c r="X13" s="17">
        <v>16195</v>
      </c>
      <c r="Y13" s="17">
        <v>19358</v>
      </c>
      <c r="Z13" s="17">
        <v>14799</v>
      </c>
      <c r="AA13" s="17">
        <v>18350</v>
      </c>
      <c r="AB13" s="17">
        <f t="shared" ref="AB13:AB20" si="22">AA13-L13</f>
        <v>8660</v>
      </c>
      <c r="AC13" s="18">
        <f t="shared" ref="AC13:AC20" si="23">(AA13-L13)/L13</f>
        <v>0.89370485036119707</v>
      </c>
      <c r="AD13" s="17">
        <v>251184</v>
      </c>
      <c r="AE13" s="19">
        <v>26.024999999999999</v>
      </c>
      <c r="AF13" s="19">
        <v>24.106999999999999</v>
      </c>
      <c r="AG13" s="19">
        <f t="shared" ref="AG13:AG20" si="24">AF13-AE13</f>
        <v>-1.9179999999999993</v>
      </c>
      <c r="AH13" s="16">
        <f t="shared" ref="AH13:AH20" si="25">(AF13-AE13)/AE13</f>
        <v>-7.3698366954851074E-2</v>
      </c>
      <c r="AI13" s="19">
        <v>5413.9</v>
      </c>
      <c r="AJ13" s="19">
        <v>6349.32</v>
      </c>
      <c r="AK13" s="19">
        <f t="shared" ref="AK13:AK20" si="26">AJ13-AI13</f>
        <v>935.42000000000007</v>
      </c>
      <c r="AL13" s="16">
        <f t="shared" ref="AL13:AL20" si="27">(AJ13-AI13)/AI13</f>
        <v>0.17278117438445487</v>
      </c>
      <c r="AM13" s="17">
        <v>725</v>
      </c>
      <c r="AN13" s="17">
        <v>475</v>
      </c>
      <c r="AO13" s="19">
        <v>4886.74</v>
      </c>
      <c r="AP13" s="19">
        <v>5508.38</v>
      </c>
      <c r="AQ13" s="19">
        <f t="shared" ref="AQ13:AQ20" si="28">AP13-AO13</f>
        <v>621.64000000000033</v>
      </c>
      <c r="AR13" s="16">
        <f t="shared" ref="AR13:AR20" si="29">(AP13-AO13)/AO13</f>
        <v>0.12720955074344048</v>
      </c>
      <c r="AS13" s="17">
        <v>306</v>
      </c>
      <c r="AT13" s="17">
        <v>126</v>
      </c>
      <c r="AU13" s="19">
        <v>5798.89</v>
      </c>
      <c r="AV13" s="19">
        <v>6652.93</v>
      </c>
      <c r="AW13" s="19">
        <f t="shared" ref="AW13:AW20" si="30">AV13-AU13</f>
        <v>854.04</v>
      </c>
      <c r="AX13" s="16">
        <f t="shared" ref="AX13:AX20" si="31">(AV13-AU13)/AU13</f>
        <v>0.14727646152970653</v>
      </c>
    </row>
    <row r="14" spans="1:50" x14ac:dyDescent="0.2">
      <c r="A14" s="39"/>
      <c r="B14" s="30" t="s">
        <v>45</v>
      </c>
      <c r="C14" s="13">
        <v>7.8984438862899943E-3</v>
      </c>
      <c r="D14" s="14">
        <v>115</v>
      </c>
      <c r="E14" s="14">
        <v>187</v>
      </c>
      <c r="F14" s="14">
        <f t="shared" si="18"/>
        <v>72</v>
      </c>
      <c r="G14" s="15">
        <f t="shared" si="19"/>
        <v>0.62608695652173918</v>
      </c>
      <c r="H14" s="14">
        <v>59</v>
      </c>
      <c r="I14" s="14">
        <v>65</v>
      </c>
      <c r="J14" s="14">
        <f t="shared" si="20"/>
        <v>6</v>
      </c>
      <c r="K14" s="16">
        <f t="shared" si="21"/>
        <v>0.10169491525423729</v>
      </c>
      <c r="L14" s="17">
        <v>5170</v>
      </c>
      <c r="M14" s="17">
        <v>6132</v>
      </c>
      <c r="N14" s="17">
        <v>5605</v>
      </c>
      <c r="O14" s="17">
        <v>5815</v>
      </c>
      <c r="P14" s="17">
        <v>6177</v>
      </c>
      <c r="Q14" s="17">
        <v>7315</v>
      </c>
      <c r="R14" s="17">
        <v>8922</v>
      </c>
      <c r="S14" s="17">
        <v>8766</v>
      </c>
      <c r="T14" s="17">
        <v>8435</v>
      </c>
      <c r="U14" s="17">
        <v>10349</v>
      </c>
      <c r="V14" s="17">
        <v>10958</v>
      </c>
      <c r="W14" s="17">
        <v>10927</v>
      </c>
      <c r="X14" s="17">
        <v>9928</v>
      </c>
      <c r="Y14" s="17">
        <v>8385</v>
      </c>
      <c r="Z14" s="17">
        <v>11829</v>
      </c>
      <c r="AA14" s="17">
        <v>13194</v>
      </c>
      <c r="AB14" s="17">
        <f t="shared" si="22"/>
        <v>8024</v>
      </c>
      <c r="AC14" s="18">
        <f t="shared" si="23"/>
        <v>1.5520309477756287</v>
      </c>
      <c r="AD14" s="17">
        <v>137907</v>
      </c>
      <c r="AE14" s="19">
        <v>26.01</v>
      </c>
      <c r="AF14" s="19">
        <v>26.59</v>
      </c>
      <c r="AG14" s="19">
        <f t="shared" si="24"/>
        <v>0.57999999999999829</v>
      </c>
      <c r="AH14" s="16">
        <f t="shared" si="25"/>
        <v>2.2299115724721194E-2</v>
      </c>
      <c r="AI14" s="19">
        <v>6522.54</v>
      </c>
      <c r="AJ14" s="19">
        <v>6386.2</v>
      </c>
      <c r="AK14" s="19">
        <f t="shared" si="26"/>
        <v>-136.34000000000015</v>
      </c>
      <c r="AL14" s="16">
        <f t="shared" si="27"/>
        <v>-2.0902899790572405E-2</v>
      </c>
      <c r="AM14" s="17">
        <v>532</v>
      </c>
      <c r="AN14" s="17">
        <v>646</v>
      </c>
      <c r="AO14" s="19">
        <v>5832.77</v>
      </c>
      <c r="AP14" s="19">
        <v>6004.32</v>
      </c>
      <c r="AQ14" s="19">
        <f t="shared" si="28"/>
        <v>171.54999999999927</v>
      </c>
      <c r="AR14" s="16">
        <f t="shared" si="29"/>
        <v>2.9411411730618429E-2</v>
      </c>
      <c r="AS14" s="17">
        <v>171</v>
      </c>
      <c r="AT14" s="17">
        <v>279</v>
      </c>
      <c r="AU14" s="19">
        <v>6848.27</v>
      </c>
      <c r="AV14" s="19">
        <v>6676.51</v>
      </c>
      <c r="AW14" s="19">
        <f t="shared" si="30"/>
        <v>-171.76000000000022</v>
      </c>
      <c r="AX14" s="16">
        <f t="shared" si="31"/>
        <v>-2.508078682645401E-2</v>
      </c>
    </row>
    <row r="15" spans="1:50" x14ac:dyDescent="0.2">
      <c r="A15" s="39"/>
      <c r="B15" s="30" t="s">
        <v>46</v>
      </c>
      <c r="C15" s="13">
        <v>-4.784327125736898E-3</v>
      </c>
      <c r="D15" s="14">
        <v>100</v>
      </c>
      <c r="E15" s="14">
        <v>189</v>
      </c>
      <c r="F15" s="14">
        <f t="shared" si="18"/>
        <v>89</v>
      </c>
      <c r="G15" s="15">
        <f t="shared" si="19"/>
        <v>0.89</v>
      </c>
      <c r="H15" s="14">
        <v>60</v>
      </c>
      <c r="I15" s="14">
        <v>61</v>
      </c>
      <c r="J15" s="14">
        <f t="shared" si="20"/>
        <v>1</v>
      </c>
      <c r="K15" s="16">
        <f t="shared" si="21"/>
        <v>1.6666666666666666E-2</v>
      </c>
      <c r="L15" s="17">
        <v>3482</v>
      </c>
      <c r="M15" s="17">
        <v>6195</v>
      </c>
      <c r="N15" s="17">
        <v>6788</v>
      </c>
      <c r="O15" s="17">
        <v>7042</v>
      </c>
      <c r="P15" s="17">
        <v>7594</v>
      </c>
      <c r="Q15" s="17">
        <v>10921</v>
      </c>
      <c r="R15" s="17">
        <v>8188</v>
      </c>
      <c r="S15" s="17">
        <v>8103</v>
      </c>
      <c r="T15" s="17">
        <v>7830</v>
      </c>
      <c r="U15" s="17">
        <v>8370</v>
      </c>
      <c r="V15" s="17">
        <v>8254</v>
      </c>
      <c r="W15" s="17">
        <v>8203</v>
      </c>
      <c r="X15" s="17">
        <v>10624</v>
      </c>
      <c r="Y15" s="17">
        <v>9022</v>
      </c>
      <c r="Z15" s="17">
        <v>11107</v>
      </c>
      <c r="AA15" s="17">
        <v>7665</v>
      </c>
      <c r="AB15" s="17">
        <f t="shared" si="22"/>
        <v>4183</v>
      </c>
      <c r="AC15" s="18">
        <f t="shared" si="23"/>
        <v>1.2013210798391729</v>
      </c>
      <c r="AD15" s="17">
        <v>129388</v>
      </c>
      <c r="AE15" s="19">
        <v>29.205500000000001</v>
      </c>
      <c r="AF15" s="19">
        <v>32.067999999999998</v>
      </c>
      <c r="AG15" s="19">
        <f t="shared" si="24"/>
        <v>2.8624999999999972</v>
      </c>
      <c r="AH15" s="16">
        <f t="shared" si="25"/>
        <v>9.8012360685487229E-2</v>
      </c>
      <c r="AI15" s="19">
        <v>5645.18</v>
      </c>
      <c r="AJ15" s="19">
        <v>4457.5600000000004</v>
      </c>
      <c r="AK15" s="19">
        <f t="shared" si="26"/>
        <v>-1187.6199999999999</v>
      </c>
      <c r="AL15" s="16">
        <f t="shared" si="27"/>
        <v>-0.21037770274818515</v>
      </c>
      <c r="AM15" s="17">
        <v>414</v>
      </c>
      <c r="AN15" s="17">
        <v>809</v>
      </c>
      <c r="AO15" s="19">
        <v>5433.01</v>
      </c>
      <c r="AP15" s="19">
        <v>4164.09</v>
      </c>
      <c r="AQ15" s="19">
        <f t="shared" si="28"/>
        <v>-1268.92</v>
      </c>
      <c r="AR15" s="16">
        <f t="shared" si="29"/>
        <v>-0.23355745710020781</v>
      </c>
      <c r="AS15" s="17">
        <v>150</v>
      </c>
      <c r="AT15" s="17">
        <v>353</v>
      </c>
      <c r="AU15" s="19">
        <v>5765.74</v>
      </c>
      <c r="AV15" s="19">
        <v>4684.74</v>
      </c>
      <c r="AW15" s="19">
        <f t="shared" si="30"/>
        <v>-1081</v>
      </c>
      <c r="AX15" s="16">
        <f t="shared" si="31"/>
        <v>-0.18748677533152727</v>
      </c>
    </row>
    <row r="16" spans="1:50" x14ac:dyDescent="0.2">
      <c r="A16" s="39"/>
      <c r="B16" s="30" t="s">
        <v>47</v>
      </c>
      <c r="C16" s="13">
        <v>-7.4378548515578492E-3</v>
      </c>
      <c r="D16" s="14">
        <v>130</v>
      </c>
      <c r="E16" s="14">
        <v>192</v>
      </c>
      <c r="F16" s="14">
        <f t="shared" si="18"/>
        <v>62</v>
      </c>
      <c r="G16" s="15">
        <f t="shared" si="19"/>
        <v>0.47692307692307695</v>
      </c>
      <c r="H16" s="14">
        <v>70</v>
      </c>
      <c r="I16" s="14">
        <v>76</v>
      </c>
      <c r="J16" s="14">
        <f t="shared" si="20"/>
        <v>6</v>
      </c>
      <c r="K16" s="16">
        <f t="shared" si="21"/>
        <v>8.5714285714285715E-2</v>
      </c>
      <c r="L16" s="17">
        <v>4141</v>
      </c>
      <c r="M16" s="17">
        <v>2918</v>
      </c>
      <c r="N16" s="17">
        <v>4711</v>
      </c>
      <c r="O16" s="17">
        <v>5250</v>
      </c>
      <c r="P16" s="17">
        <v>4672</v>
      </c>
      <c r="Q16" s="17">
        <v>5713</v>
      </c>
      <c r="R16" s="17">
        <v>4355</v>
      </c>
      <c r="S16" s="17">
        <v>7175</v>
      </c>
      <c r="T16" s="17">
        <v>6269</v>
      </c>
      <c r="U16" s="17">
        <v>8285</v>
      </c>
      <c r="V16" s="17">
        <v>8137</v>
      </c>
      <c r="W16" s="17">
        <v>11961</v>
      </c>
      <c r="X16" s="17">
        <v>10629</v>
      </c>
      <c r="Y16" s="17">
        <v>8582</v>
      </c>
      <c r="Z16" s="17">
        <v>5673</v>
      </c>
      <c r="AA16" s="17">
        <v>9920</v>
      </c>
      <c r="AB16" s="17">
        <f t="shared" si="22"/>
        <v>5779</v>
      </c>
      <c r="AC16" s="18">
        <f t="shared" si="23"/>
        <v>1.395556628833615</v>
      </c>
      <c r="AD16" s="17">
        <v>108391</v>
      </c>
      <c r="AE16" s="19">
        <v>30.478000000000002</v>
      </c>
      <c r="AF16" s="19">
        <v>30.831</v>
      </c>
      <c r="AG16" s="19">
        <f t="shared" si="24"/>
        <v>0.35299999999999798</v>
      </c>
      <c r="AH16" s="16">
        <f t="shared" si="25"/>
        <v>1.1582124811339261E-2</v>
      </c>
      <c r="AI16" s="19">
        <v>7286.41</v>
      </c>
      <c r="AJ16" s="19">
        <v>6955.04</v>
      </c>
      <c r="AK16" s="19">
        <f t="shared" si="26"/>
        <v>-331.36999999999989</v>
      </c>
      <c r="AL16" s="16">
        <f t="shared" si="27"/>
        <v>-4.5477814177352069E-2</v>
      </c>
      <c r="AM16" s="17">
        <v>411</v>
      </c>
      <c r="AN16" s="17">
        <v>751</v>
      </c>
      <c r="AO16" s="19">
        <v>7307.63</v>
      </c>
      <c r="AP16" s="19">
        <v>6462.24</v>
      </c>
      <c r="AQ16" s="19">
        <f t="shared" si="28"/>
        <v>-845.39000000000033</v>
      </c>
      <c r="AR16" s="16">
        <f t="shared" si="29"/>
        <v>-0.11568593374322458</v>
      </c>
      <c r="AS16" s="17">
        <v>116</v>
      </c>
      <c r="AT16" s="17">
        <v>242</v>
      </c>
      <c r="AU16" s="19">
        <v>7278.07</v>
      </c>
      <c r="AV16" s="19">
        <v>7189.35</v>
      </c>
      <c r="AW16" s="19">
        <f t="shared" si="30"/>
        <v>-88.719999999999345</v>
      </c>
      <c r="AX16" s="16">
        <f t="shared" si="31"/>
        <v>-1.2190044888273863E-2</v>
      </c>
    </row>
    <row r="17" spans="1:50" x14ac:dyDescent="0.2">
      <c r="A17" s="39"/>
      <c r="B17" s="30" t="s">
        <v>48</v>
      </c>
      <c r="C17" s="13">
        <v>-1.864679606553828E-2</v>
      </c>
      <c r="D17" s="14">
        <v>175</v>
      </c>
      <c r="E17" s="14">
        <v>200</v>
      </c>
      <c r="F17" s="14">
        <f t="shared" si="18"/>
        <v>25</v>
      </c>
      <c r="G17" s="15">
        <f t="shared" si="19"/>
        <v>0.14285714285714285</v>
      </c>
      <c r="H17" s="14">
        <v>105</v>
      </c>
      <c r="I17" s="14">
        <v>121</v>
      </c>
      <c r="J17" s="14">
        <f t="shared" si="20"/>
        <v>16</v>
      </c>
      <c r="K17" s="16">
        <f t="shared" si="21"/>
        <v>0.15238095238095239</v>
      </c>
      <c r="L17" s="17">
        <v>8217</v>
      </c>
      <c r="M17" s="17">
        <v>11263</v>
      </c>
      <c r="N17" s="17">
        <v>15072</v>
      </c>
      <c r="O17" s="17">
        <v>15343</v>
      </c>
      <c r="P17" s="17">
        <v>13744</v>
      </c>
      <c r="Q17" s="17">
        <v>11111</v>
      </c>
      <c r="R17" s="17">
        <v>15587</v>
      </c>
      <c r="S17" s="17">
        <v>14328</v>
      </c>
      <c r="T17" s="17">
        <v>13927</v>
      </c>
      <c r="U17" s="17">
        <v>14605</v>
      </c>
      <c r="V17" s="17">
        <v>15305</v>
      </c>
      <c r="W17" s="17">
        <v>11547</v>
      </c>
      <c r="X17" s="17">
        <v>15912</v>
      </c>
      <c r="Y17" s="17">
        <v>11192</v>
      </c>
      <c r="Z17" s="17">
        <v>12481</v>
      </c>
      <c r="AA17" s="17">
        <v>13675</v>
      </c>
      <c r="AB17" s="17">
        <f t="shared" si="22"/>
        <v>5458</v>
      </c>
      <c r="AC17" s="18">
        <f t="shared" si="23"/>
        <v>0.66423268832907389</v>
      </c>
      <c r="AD17" s="17">
        <v>213309</v>
      </c>
      <c r="AE17" s="19">
        <v>40.595500000000001</v>
      </c>
      <c r="AF17" s="19">
        <v>45.685000000000002</v>
      </c>
      <c r="AG17" s="19">
        <f t="shared" si="24"/>
        <v>5.089500000000001</v>
      </c>
      <c r="AH17" s="16">
        <f t="shared" si="25"/>
        <v>0.12537103866192068</v>
      </c>
      <c r="AI17" s="19">
        <v>7561.73</v>
      </c>
      <c r="AJ17" s="19">
        <v>5242.68</v>
      </c>
      <c r="AK17" s="19">
        <f t="shared" si="26"/>
        <v>-2319.0499999999993</v>
      </c>
      <c r="AL17" s="16">
        <f t="shared" si="27"/>
        <v>-0.30668246552045619</v>
      </c>
      <c r="AM17" s="17">
        <v>624</v>
      </c>
      <c r="AN17" s="17">
        <v>952</v>
      </c>
      <c r="AO17" s="19">
        <v>9174.5300000000007</v>
      </c>
      <c r="AP17" s="19">
        <v>6528.17</v>
      </c>
      <c r="AQ17" s="19">
        <f t="shared" si="28"/>
        <v>-2646.3600000000006</v>
      </c>
      <c r="AR17" s="16">
        <f t="shared" si="29"/>
        <v>-0.28844638362946118</v>
      </c>
      <c r="AS17" s="17">
        <v>178</v>
      </c>
      <c r="AT17" s="17">
        <v>313</v>
      </c>
      <c r="AU17" s="19">
        <v>6918.06</v>
      </c>
      <c r="AV17" s="19">
        <v>4613.01</v>
      </c>
      <c r="AW17" s="19">
        <f t="shared" si="30"/>
        <v>-2305.0500000000002</v>
      </c>
      <c r="AX17" s="16">
        <f t="shared" si="31"/>
        <v>-0.33319312061473882</v>
      </c>
    </row>
    <row r="18" spans="1:50" x14ac:dyDescent="0.2">
      <c r="A18" s="39"/>
      <c r="B18" s="30" t="s">
        <v>49</v>
      </c>
      <c r="C18" s="13">
        <v>-4.0919234267978083E-2</v>
      </c>
      <c r="D18" s="14">
        <v>125</v>
      </c>
      <c r="E18" s="14">
        <v>130</v>
      </c>
      <c r="F18" s="14">
        <f t="shared" si="18"/>
        <v>5</v>
      </c>
      <c r="G18" s="15">
        <f t="shared" si="19"/>
        <v>0.04</v>
      </c>
      <c r="H18" s="14">
        <v>55</v>
      </c>
      <c r="I18" s="14">
        <v>62</v>
      </c>
      <c r="J18" s="14">
        <f t="shared" si="20"/>
        <v>7</v>
      </c>
      <c r="K18" s="16">
        <f t="shared" si="21"/>
        <v>0.12727272727272726</v>
      </c>
      <c r="L18" s="17">
        <v>3807</v>
      </c>
      <c r="M18" s="17">
        <v>2625</v>
      </c>
      <c r="N18" s="17">
        <v>3906</v>
      </c>
      <c r="O18" s="17">
        <v>5409</v>
      </c>
      <c r="P18" s="17">
        <v>3989</v>
      </c>
      <c r="Q18" s="17">
        <v>5125</v>
      </c>
      <c r="R18" s="17">
        <v>3736</v>
      </c>
      <c r="S18" s="17">
        <v>5460</v>
      </c>
      <c r="T18" s="17">
        <v>6553</v>
      </c>
      <c r="U18" s="17">
        <v>5404</v>
      </c>
      <c r="V18" s="17">
        <v>7405</v>
      </c>
      <c r="W18" s="17">
        <v>6420</v>
      </c>
      <c r="X18" s="17">
        <v>6800</v>
      </c>
      <c r="Y18" s="17">
        <v>7460</v>
      </c>
      <c r="Z18" s="17">
        <v>5110</v>
      </c>
      <c r="AA18" s="17">
        <v>4580</v>
      </c>
      <c r="AB18" s="17">
        <f t="shared" si="22"/>
        <v>773</v>
      </c>
      <c r="AC18" s="18">
        <f t="shared" si="23"/>
        <v>0.20304701864985553</v>
      </c>
      <c r="AD18" s="17">
        <v>83789</v>
      </c>
      <c r="AE18" s="19">
        <v>26.468</v>
      </c>
      <c r="AF18" s="19">
        <v>27.14</v>
      </c>
      <c r="AG18" s="19">
        <f t="shared" si="24"/>
        <v>0.6720000000000006</v>
      </c>
      <c r="AH18" s="16">
        <f t="shared" si="25"/>
        <v>2.5389149161251345E-2</v>
      </c>
      <c r="AI18" s="19">
        <v>8806.5300000000007</v>
      </c>
      <c r="AJ18" s="19">
        <v>7278.28</v>
      </c>
      <c r="AK18" s="19">
        <f t="shared" si="26"/>
        <v>-1528.2500000000009</v>
      </c>
      <c r="AL18" s="16">
        <f t="shared" si="27"/>
        <v>-0.17353600112643694</v>
      </c>
      <c r="AM18" s="17">
        <v>406</v>
      </c>
      <c r="AN18" s="17">
        <v>740</v>
      </c>
      <c r="AO18" s="19">
        <v>8638.83</v>
      </c>
      <c r="AP18" s="19">
        <v>7050.77</v>
      </c>
      <c r="AQ18" s="19">
        <f t="shared" si="28"/>
        <v>-1588.0599999999995</v>
      </c>
      <c r="AR18" s="16">
        <f t="shared" si="29"/>
        <v>-0.18382813413390464</v>
      </c>
      <c r="AS18" s="17">
        <v>120</v>
      </c>
      <c r="AT18" s="17">
        <v>218</v>
      </c>
      <c r="AU18" s="19">
        <v>8876.9</v>
      </c>
      <c r="AV18" s="19">
        <v>7373.3</v>
      </c>
      <c r="AW18" s="19">
        <f t="shared" si="30"/>
        <v>-1503.5999999999995</v>
      </c>
      <c r="AX18" s="16">
        <f t="shared" si="31"/>
        <v>-0.16938345593619389</v>
      </c>
    </row>
    <row r="19" spans="1:50" x14ac:dyDescent="0.2">
      <c r="A19" s="39"/>
      <c r="B19" s="30" t="s">
        <v>50</v>
      </c>
      <c r="C19" s="13">
        <v>-5.992254893942122E-2</v>
      </c>
      <c r="D19" s="14">
        <v>115</v>
      </c>
      <c r="E19" s="14">
        <v>120</v>
      </c>
      <c r="F19" s="14">
        <f t="shared" si="18"/>
        <v>5</v>
      </c>
      <c r="G19" s="15">
        <f t="shared" si="19"/>
        <v>4.3478260869565216E-2</v>
      </c>
      <c r="H19" s="14">
        <v>40</v>
      </c>
      <c r="I19" s="14">
        <v>55</v>
      </c>
      <c r="J19" s="14">
        <f t="shared" si="20"/>
        <v>15</v>
      </c>
      <c r="K19" s="16">
        <f t="shared" si="21"/>
        <v>0.375</v>
      </c>
      <c r="L19" s="17">
        <v>3765</v>
      </c>
      <c r="M19" s="17">
        <v>3860</v>
      </c>
      <c r="N19" s="17">
        <v>3513</v>
      </c>
      <c r="O19" s="17">
        <v>3418</v>
      </c>
      <c r="P19" s="17">
        <v>4799</v>
      </c>
      <c r="Q19" s="17">
        <v>5713</v>
      </c>
      <c r="R19" s="17">
        <v>5210</v>
      </c>
      <c r="S19" s="17">
        <v>6830</v>
      </c>
      <c r="T19" s="17">
        <v>5973</v>
      </c>
      <c r="U19" s="17">
        <v>7148</v>
      </c>
      <c r="V19" s="17">
        <v>7525</v>
      </c>
      <c r="W19" s="17">
        <v>7285</v>
      </c>
      <c r="X19" s="17">
        <v>7385</v>
      </c>
      <c r="Y19" s="17">
        <v>8364</v>
      </c>
      <c r="Z19" s="17">
        <v>6810</v>
      </c>
      <c r="AA19" s="17">
        <v>8010</v>
      </c>
      <c r="AB19" s="17">
        <f t="shared" si="22"/>
        <v>4245</v>
      </c>
      <c r="AC19" s="18">
        <f t="shared" si="23"/>
        <v>1.1274900398406376</v>
      </c>
      <c r="AD19" s="17">
        <v>95608</v>
      </c>
      <c r="AE19" s="19">
        <v>19.441500000000001</v>
      </c>
      <c r="AF19" s="19">
        <v>20.753</v>
      </c>
      <c r="AG19" s="19">
        <f t="shared" si="24"/>
        <v>1.3114999999999988</v>
      </c>
      <c r="AH19" s="16">
        <f t="shared" si="25"/>
        <v>6.7458786616258967E-2</v>
      </c>
      <c r="AI19" s="19">
        <v>5911.59</v>
      </c>
      <c r="AJ19" s="19">
        <v>4051.3</v>
      </c>
      <c r="AK19" s="19">
        <f t="shared" si="26"/>
        <v>-1860.29</v>
      </c>
      <c r="AL19" s="16">
        <f t="shared" si="27"/>
        <v>-0.31468522005078159</v>
      </c>
      <c r="AM19" s="17">
        <v>368</v>
      </c>
      <c r="AN19" s="17">
        <v>1062</v>
      </c>
      <c r="AO19" s="19">
        <v>5532.55</v>
      </c>
      <c r="AP19" s="19">
        <v>2938.51</v>
      </c>
      <c r="AQ19" s="19">
        <f t="shared" si="28"/>
        <v>-2594.04</v>
      </c>
      <c r="AR19" s="16">
        <f t="shared" si="29"/>
        <v>-0.46886878564134077</v>
      </c>
      <c r="AS19" s="17">
        <v>121</v>
      </c>
      <c r="AT19" s="17">
        <v>353</v>
      </c>
      <c r="AU19" s="19">
        <v>6097.28</v>
      </c>
      <c r="AV19" s="19">
        <v>4605.34</v>
      </c>
      <c r="AW19" s="19">
        <f t="shared" si="30"/>
        <v>-1491.9399999999996</v>
      </c>
      <c r="AX19" s="16">
        <f t="shared" si="31"/>
        <v>-0.24468943528917808</v>
      </c>
    </row>
    <row r="20" spans="1:50" x14ac:dyDescent="0.2">
      <c r="A20" s="39"/>
      <c r="B20" s="30" t="s">
        <v>51</v>
      </c>
      <c r="C20" s="13">
        <v>-6.6027563356232652E-2</v>
      </c>
      <c r="D20" s="14">
        <v>97</v>
      </c>
      <c r="E20" s="14">
        <v>115</v>
      </c>
      <c r="F20" s="14">
        <f t="shared" si="18"/>
        <v>18</v>
      </c>
      <c r="G20" s="15">
        <f t="shared" si="19"/>
        <v>0.18556701030927836</v>
      </c>
      <c r="H20" s="14">
        <v>46</v>
      </c>
      <c r="I20" s="14">
        <v>47</v>
      </c>
      <c r="J20" s="14">
        <f t="shared" si="20"/>
        <v>1</v>
      </c>
      <c r="K20" s="16">
        <f t="shared" si="21"/>
        <v>2.1739130434782608E-2</v>
      </c>
      <c r="L20" s="17">
        <v>4635</v>
      </c>
      <c r="M20" s="17">
        <v>4355</v>
      </c>
      <c r="N20" s="17">
        <v>4539</v>
      </c>
      <c r="O20" s="17">
        <v>6264</v>
      </c>
      <c r="P20" s="17">
        <v>5676</v>
      </c>
      <c r="Q20" s="17">
        <v>6161</v>
      </c>
      <c r="R20" s="17">
        <v>6070</v>
      </c>
      <c r="S20" s="17">
        <v>6878</v>
      </c>
      <c r="T20" s="17">
        <v>6126</v>
      </c>
      <c r="U20" s="17">
        <v>8870</v>
      </c>
      <c r="V20" s="17">
        <v>6115</v>
      </c>
      <c r="W20" s="17">
        <v>7115</v>
      </c>
      <c r="X20" s="17">
        <v>5545</v>
      </c>
      <c r="Y20" s="17">
        <v>5740</v>
      </c>
      <c r="Z20" s="17">
        <v>5660</v>
      </c>
      <c r="AA20" s="17">
        <v>6405</v>
      </c>
      <c r="AB20" s="17">
        <f t="shared" si="22"/>
        <v>1770</v>
      </c>
      <c r="AC20" s="18">
        <f t="shared" si="23"/>
        <v>0.3818770226537217</v>
      </c>
      <c r="AD20" s="17">
        <v>96154</v>
      </c>
      <c r="AE20" s="19">
        <v>20.377500000000001</v>
      </c>
      <c r="AF20" s="19">
        <v>20.559000000000001</v>
      </c>
      <c r="AG20" s="19">
        <f t="shared" si="24"/>
        <v>0.18149999999999977</v>
      </c>
      <c r="AH20" s="16">
        <f t="shared" si="25"/>
        <v>8.9068825910931064E-3</v>
      </c>
      <c r="AI20" s="19">
        <v>5872.63</v>
      </c>
      <c r="AJ20" s="19">
        <v>4604.75</v>
      </c>
      <c r="AK20" s="19">
        <f t="shared" si="26"/>
        <v>-1267.8800000000001</v>
      </c>
      <c r="AL20" s="16">
        <f t="shared" si="27"/>
        <v>-0.21589645525088419</v>
      </c>
      <c r="AM20" s="17">
        <v>829</v>
      </c>
      <c r="AN20" s="17">
        <v>592</v>
      </c>
      <c r="AO20" s="19">
        <v>6027.03</v>
      </c>
      <c r="AP20" s="19">
        <v>4641.91</v>
      </c>
      <c r="AQ20" s="19">
        <f t="shared" si="28"/>
        <v>-1385.12</v>
      </c>
      <c r="AR20" s="16">
        <f t="shared" si="29"/>
        <v>-0.22981800322878765</v>
      </c>
      <c r="AS20" s="17">
        <v>346</v>
      </c>
      <c r="AT20" s="17">
        <v>222</v>
      </c>
      <c r="AU20" s="19">
        <v>5762.02</v>
      </c>
      <c r="AV20" s="19">
        <v>4582.4399999999996</v>
      </c>
      <c r="AW20" s="19">
        <f t="shared" si="30"/>
        <v>-1179.5800000000008</v>
      </c>
      <c r="AX20" s="16">
        <f t="shared" si="31"/>
        <v>-0.20471640153973794</v>
      </c>
    </row>
    <row r="21" spans="1:50" x14ac:dyDescent="0.2">
      <c r="A21" s="39"/>
      <c r="B21" s="30" t="s">
        <v>41</v>
      </c>
      <c r="C21" s="31">
        <f t="shared" ref="C21:AX21" si="32">AVERAGE(C13:C20)</f>
        <v>-2.2667485090021873E-2</v>
      </c>
      <c r="D21" s="32">
        <f t="shared" si="32"/>
        <v>130.375</v>
      </c>
      <c r="E21" s="32">
        <f t="shared" si="32"/>
        <v>171</v>
      </c>
      <c r="F21" s="32">
        <f t="shared" si="32"/>
        <v>40.625</v>
      </c>
      <c r="G21" s="29">
        <f t="shared" si="32"/>
        <v>0.33354416346198201</v>
      </c>
      <c r="H21" s="32">
        <f t="shared" si="32"/>
        <v>67</v>
      </c>
      <c r="I21" s="32">
        <f t="shared" si="32"/>
        <v>76</v>
      </c>
      <c r="J21" s="32">
        <f t="shared" si="32"/>
        <v>9</v>
      </c>
      <c r="K21" s="29">
        <f t="shared" si="32"/>
        <v>0.13481105996298126</v>
      </c>
      <c r="L21" s="32">
        <f t="shared" si="32"/>
        <v>5363.375</v>
      </c>
      <c r="M21" s="32">
        <f t="shared" si="32"/>
        <v>6153.875</v>
      </c>
      <c r="N21" s="32">
        <f t="shared" si="32"/>
        <v>6831.125</v>
      </c>
      <c r="O21" s="32">
        <f t="shared" si="32"/>
        <v>7920.875</v>
      </c>
      <c r="P21" s="32">
        <f t="shared" si="32"/>
        <v>7847.5</v>
      </c>
      <c r="Q21" s="32">
        <f t="shared" si="32"/>
        <v>8927.375</v>
      </c>
      <c r="R21" s="32">
        <f t="shared" si="32"/>
        <v>8341</v>
      </c>
      <c r="S21" s="32">
        <f t="shared" si="32"/>
        <v>9219.375</v>
      </c>
      <c r="T21" s="32">
        <f t="shared" si="32"/>
        <v>8683.375</v>
      </c>
      <c r="U21" s="32">
        <f t="shared" si="32"/>
        <v>10066.375</v>
      </c>
      <c r="V21" s="32">
        <f t="shared" si="32"/>
        <v>9992.375</v>
      </c>
      <c r="W21" s="32">
        <f t="shared" si="32"/>
        <v>10571</v>
      </c>
      <c r="X21" s="32">
        <f t="shared" si="32"/>
        <v>10377.25</v>
      </c>
      <c r="Y21" s="32">
        <f t="shared" si="32"/>
        <v>9762.875</v>
      </c>
      <c r="Z21" s="32">
        <f t="shared" si="32"/>
        <v>9183.625</v>
      </c>
      <c r="AA21" s="32">
        <f t="shared" si="32"/>
        <v>10224.875</v>
      </c>
      <c r="AB21" s="32">
        <f t="shared" si="32"/>
        <v>4861.5</v>
      </c>
      <c r="AC21" s="29">
        <f t="shared" si="32"/>
        <v>0.92740753453536284</v>
      </c>
      <c r="AD21" s="32">
        <f t="shared" si="32"/>
        <v>139466.25</v>
      </c>
      <c r="AE21" s="32">
        <f t="shared" si="32"/>
        <v>27.325125</v>
      </c>
      <c r="AF21" s="32">
        <f t="shared" si="32"/>
        <v>28.466624999999997</v>
      </c>
      <c r="AG21" s="32">
        <f t="shared" si="32"/>
        <v>1.1414999999999993</v>
      </c>
      <c r="AH21" s="29">
        <f t="shared" si="32"/>
        <v>3.566513641215259E-2</v>
      </c>
      <c r="AI21" s="32">
        <f t="shared" si="32"/>
        <v>6627.5637500000003</v>
      </c>
      <c r="AJ21" s="32">
        <f t="shared" si="32"/>
        <v>5665.6412500000006</v>
      </c>
      <c r="AK21" s="32">
        <f t="shared" si="32"/>
        <v>-961.92250000000001</v>
      </c>
      <c r="AL21" s="29">
        <f t="shared" si="32"/>
        <v>-0.13934717303502669</v>
      </c>
      <c r="AM21" s="32">
        <f t="shared" si="32"/>
        <v>538.625</v>
      </c>
      <c r="AN21" s="32">
        <f t="shared" si="32"/>
        <v>753.375</v>
      </c>
      <c r="AO21" s="32">
        <f t="shared" si="32"/>
        <v>6604.1362500000005</v>
      </c>
      <c r="AP21" s="32">
        <f t="shared" si="32"/>
        <v>5412.2987499999999</v>
      </c>
      <c r="AQ21" s="32">
        <f t="shared" si="32"/>
        <v>-1191.8375000000001</v>
      </c>
      <c r="AR21" s="29">
        <f t="shared" si="32"/>
        <v>-0.17044796687535846</v>
      </c>
      <c r="AS21" s="32">
        <f t="shared" si="32"/>
        <v>188.5</v>
      </c>
      <c r="AT21" s="32">
        <f t="shared" si="32"/>
        <v>263.25</v>
      </c>
      <c r="AU21" s="32">
        <f t="shared" si="32"/>
        <v>6668.1537499999995</v>
      </c>
      <c r="AV21" s="32">
        <f t="shared" si="32"/>
        <v>5797.2025000000012</v>
      </c>
      <c r="AW21" s="32">
        <f t="shared" si="32"/>
        <v>-870.95124999999996</v>
      </c>
      <c r="AX21" s="29">
        <f t="shared" si="32"/>
        <v>-0.12868294486204968</v>
      </c>
    </row>
    <row r="22" spans="1:50" s="28" customFormat="1" ht="15" thickBot="1" x14ac:dyDescent="0.25">
      <c r="A22" s="40"/>
      <c r="B22" s="30" t="s">
        <v>42</v>
      </c>
      <c r="C22" s="31">
        <f t="shared" ref="C22:AX22" si="33">STDEV(C13:C20)</f>
        <v>2.9458846779287978E-2</v>
      </c>
      <c r="D22" s="32">
        <f t="shared" si="33"/>
        <v>33.001893885048474</v>
      </c>
      <c r="E22" s="32">
        <f t="shared" si="33"/>
        <v>43.713351997497774</v>
      </c>
      <c r="F22" s="32">
        <f t="shared" si="33"/>
        <v>31.950575671093716</v>
      </c>
      <c r="G22" s="29">
        <f t="shared" si="33"/>
        <v>0.30455155584458976</v>
      </c>
      <c r="H22" s="32">
        <f t="shared" si="33"/>
        <v>24.011901810798506</v>
      </c>
      <c r="I22" s="32">
        <f t="shared" si="33"/>
        <v>28.967962599100012</v>
      </c>
      <c r="J22" s="32">
        <f t="shared" si="33"/>
        <v>7.1314194139135338</v>
      </c>
      <c r="K22" s="29">
        <f t="shared" si="33"/>
        <v>0.11483039092468737</v>
      </c>
      <c r="L22" s="32">
        <f t="shared" si="33"/>
        <v>2312.7491950675749</v>
      </c>
      <c r="M22" s="32">
        <f t="shared" si="33"/>
        <v>3592.648463479673</v>
      </c>
      <c r="N22" s="32">
        <f t="shared" si="33"/>
        <v>4005.4119616018097</v>
      </c>
      <c r="O22" s="32">
        <f t="shared" si="33"/>
        <v>4542.4981936469403</v>
      </c>
      <c r="P22" s="32">
        <f t="shared" si="33"/>
        <v>4554.234669905738</v>
      </c>
      <c r="Q22" s="32">
        <f t="shared" si="33"/>
        <v>4824.8978653142794</v>
      </c>
      <c r="R22" s="32">
        <f t="shared" si="33"/>
        <v>4548.9413211050705</v>
      </c>
      <c r="S22" s="32">
        <f t="shared" si="33"/>
        <v>3891.2388749783604</v>
      </c>
      <c r="T22" s="32">
        <f t="shared" si="33"/>
        <v>3478.4137163573364</v>
      </c>
      <c r="U22" s="32">
        <f t="shared" si="33"/>
        <v>4029.7948525416809</v>
      </c>
      <c r="V22" s="32">
        <f t="shared" si="33"/>
        <v>3826.040173693199</v>
      </c>
      <c r="W22" s="32">
        <f t="shared" si="33"/>
        <v>4775.8602815169779</v>
      </c>
      <c r="X22" s="32">
        <f t="shared" si="33"/>
        <v>3962.4429603826115</v>
      </c>
      <c r="Y22" s="32">
        <f t="shared" si="33"/>
        <v>4164.3783771239068</v>
      </c>
      <c r="Z22" s="32">
        <f t="shared" si="33"/>
        <v>3780.9945002226973</v>
      </c>
      <c r="AA22" s="32">
        <f t="shared" si="33"/>
        <v>4547.2811480362325</v>
      </c>
      <c r="AB22" s="32">
        <f t="shared" si="33"/>
        <v>2744.8982807070597</v>
      </c>
      <c r="AC22" s="29">
        <f t="shared" si="33"/>
        <v>0.4806362136428195</v>
      </c>
      <c r="AD22" s="32">
        <f t="shared" si="33"/>
        <v>60830.835929884866</v>
      </c>
      <c r="AE22" s="32">
        <f t="shared" si="33"/>
        <v>6.5917140831176333</v>
      </c>
      <c r="AF22" s="32">
        <f t="shared" si="33"/>
        <v>8.1183314425265003</v>
      </c>
      <c r="AG22" s="32">
        <f t="shared" si="33"/>
        <v>2.0707841854855715</v>
      </c>
      <c r="AH22" s="29">
        <f t="shared" si="33"/>
        <v>6.1511647391083377E-2</v>
      </c>
      <c r="AI22" s="32">
        <f t="shared" si="33"/>
        <v>1170.2423301172373</v>
      </c>
      <c r="AJ22" s="32">
        <f t="shared" si="33"/>
        <v>1231.7072275787095</v>
      </c>
      <c r="AK22" s="32">
        <f t="shared" si="33"/>
        <v>1055.1389135863988</v>
      </c>
      <c r="AL22" s="29">
        <f t="shared" si="33"/>
        <v>0.16521982898438961</v>
      </c>
      <c r="AM22" s="32">
        <f t="shared" si="33"/>
        <v>171.09223702853549</v>
      </c>
      <c r="AN22" s="32">
        <f t="shared" si="33"/>
        <v>190.12923236577799</v>
      </c>
      <c r="AO22" s="32">
        <f t="shared" si="33"/>
        <v>1587.4124192798508</v>
      </c>
      <c r="AP22" s="32">
        <f t="shared" si="33"/>
        <v>1397.0892582430861</v>
      </c>
      <c r="AQ22" s="32">
        <f t="shared" si="33"/>
        <v>1168.0051154823154</v>
      </c>
      <c r="AR22" s="29">
        <f t="shared" si="33"/>
        <v>0.18601378541958599</v>
      </c>
      <c r="AS22" s="32">
        <f t="shared" si="33"/>
        <v>88.653418272667707</v>
      </c>
      <c r="AT22" s="32">
        <f t="shared" si="33"/>
        <v>77.34108130316551</v>
      </c>
      <c r="AU22" s="32">
        <f t="shared" si="33"/>
        <v>1073.2060167545785</v>
      </c>
      <c r="AV22" s="32">
        <f t="shared" si="33"/>
        <v>1279.7141458907322</v>
      </c>
      <c r="AW22" s="32">
        <f t="shared" si="33"/>
        <v>1004.1508012165943</v>
      </c>
      <c r="AX22" s="29">
        <f t="shared" si="33"/>
        <v>0.15428870123041408</v>
      </c>
    </row>
    <row r="23" spans="1:50" x14ac:dyDescent="0.2">
      <c r="AF23" s="28" t="s">
        <v>52</v>
      </c>
      <c r="AG23" s="33">
        <f>TTEST(AG3:AG10,AG13:AG20,2,1)</f>
        <v>0.11718581017287506</v>
      </c>
      <c r="AH23" s="33">
        <f>TTEST(AH3:AH10,AH13:AH20,2,1)</f>
        <v>5.0611829924020933E-2</v>
      </c>
      <c r="AJ23" s="28" t="s">
        <v>52</v>
      </c>
      <c r="AK23" s="33">
        <f>TTEST(AK3:AK10,AK13:AK20,2,1)</f>
        <v>5.674584966263563E-3</v>
      </c>
      <c r="AL23" s="33">
        <f>TTEST(AL3:AL10,AL13:AL20,2,1)</f>
        <v>1.609312073295258E-3</v>
      </c>
    </row>
    <row r="24" spans="1:50" x14ac:dyDescent="0.2">
      <c r="B24" s="12" t="s">
        <v>53</v>
      </c>
    </row>
    <row r="25" spans="1:50" x14ac:dyDescent="0.2">
      <c r="B25" s="30" t="s">
        <v>54</v>
      </c>
    </row>
  </sheetData>
  <mergeCells count="12">
    <mergeCell ref="A13:A22"/>
    <mergeCell ref="C1:C2"/>
    <mergeCell ref="D1:G1"/>
    <mergeCell ref="H1:K1"/>
    <mergeCell ref="L1:AD1"/>
    <mergeCell ref="AM1:AN1"/>
    <mergeCell ref="AO1:AR1"/>
    <mergeCell ref="AS1:AT1"/>
    <mergeCell ref="AU1:AX1"/>
    <mergeCell ref="A3:A12"/>
    <mergeCell ref="AE1:AH1"/>
    <mergeCell ref="AI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RES&amp;NR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Dustyn Lewis</dc:creator>
  <cp:lastModifiedBy>Dustyn Lewis</cp:lastModifiedBy>
  <dcterms:created xsi:type="dcterms:W3CDTF">2026-01-09T18:19:00Z</dcterms:created>
  <dcterms:modified xsi:type="dcterms:W3CDTF">2026-01-15T17:00:42Z</dcterms:modified>
</cp:coreProperties>
</file>